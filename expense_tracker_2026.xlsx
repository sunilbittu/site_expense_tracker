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Jan2026" sheetId="2" state="visible" r:id="rId2"/>
    <sheet name="Feb2026" sheetId="3" state="visible" r:id="rId3"/>
    <sheet name="Mar2026" sheetId="4" state="visible" r:id="rId4"/>
    <sheet name="Apr2026" sheetId="5" state="visible" r:id="rId5"/>
    <sheet name="May2026" sheetId="6" state="visible" r:id="rId6"/>
    <sheet name="Jun2026" sheetId="7" state="visible" r:id="rId7"/>
    <sheet name="Jul2026" sheetId="8" state="visible" r:id="rId8"/>
    <sheet name="Aug2026" sheetId="9" state="visible" r:id="rId9"/>
    <sheet name="Sep2026" sheetId="10" state="visible" r:id="rId10"/>
    <sheet name="Oct2026" sheetId="11" state="visible" r:id="rId11"/>
    <sheet name="Nov2026" sheetId="12" state="visible" r:id="rId12"/>
    <sheet name="Dec2026" sheetId="13" state="visible" r:id="rId13"/>
    <sheet name="Categories" sheetId="14" state="visible" r:id="rId14"/>
  </sheets>
  <definedNames>
    <definedName name="IncomeCategories">'Categories'!$A$3:$A$6</definedName>
    <definedName name="MainCategories">'Categories'!$F$3:$F$12</definedName>
    <definedName name="Cat_Land_Legal">'Categories'!$H$3:$H$9</definedName>
    <definedName name="Cat_Site_Development">'Categories'!$I$3:$I$11</definedName>
    <definedName name="Cat_Utilities">'Categories'!$J$3:$J$9</definedName>
    <definedName name="Cat_Landscaping">'Categories'!$K$3:$K$7</definedName>
    <definedName name="Cat_Buildings_Amenities">'Categories'!$L$3:$L$10</definedName>
    <definedName name="Cat_Labour_Contractors">'Categories'!$M$3:$M$7</definedName>
    <definedName name="Cat_Materials">'Categories'!$N$3:$N$11</definedName>
    <definedName name="Cat_Operations">'Categories'!$O$3:$O$9</definedName>
    <definedName name="Cat_Marketing_Sales">'Categories'!$P$3:$P$8</definedName>
    <definedName name="Cat_Miscellaneous">'Categories'!$Q$3:$Q$7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b val="1"/>
      <sz val="14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C62828"/>
        <bgColor rgb="00C62828"/>
      </patternFill>
    </fill>
    <fill>
      <patternFill patternType="solid">
        <fgColor rgb="0037474F"/>
        <bgColor rgb="0037474F"/>
      </patternFill>
    </fill>
    <fill>
      <patternFill patternType="solid">
        <fgColor rgb="00ECEFF1"/>
        <bgColor rgb="00ECEF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3" fillId="5" borderId="1" pivotButton="0" quotePrefix="0" xfId="0"/>
    <xf numFmtId="4" fontId="3" fillId="0" borderId="1" pivotButton="0" quotePrefix="0" xfId="0"/>
    <xf numFmtId="0" fontId="4" fillId="0" borderId="0" pivotButton="0" quotePrefix="0" xfId="0"/>
    <xf numFmtId="0" fontId="2" fillId="4" borderId="0" applyAlignment="1" pivotButton="0" quotePrefix="0" xfId="0">
      <alignment horizontal="center"/>
    </xf>
    <xf numFmtId="4" fontId="5" fillId="0" borderId="1" pivotButton="0" quotePrefix="0" xfId="0"/>
    <xf numFmtId="4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Balance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'Dashboard'!D44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'Dashboard'!$A$45:$A$56</f>
            </numRef>
          </cat>
          <val>
            <numRef>
              <f>'Dashboard'!$D$45:$D$56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Receipts vs Payments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'Dashboard'!B44</f>
            </strRef>
          </tx>
          <spPr>
            <a:ln>
              <a:prstDash val="solid"/>
            </a:ln>
          </spPr>
          <cat>
            <numRef>
              <f>'Dashboard'!$A$45:$A$56</f>
            </numRef>
          </cat>
          <val>
            <numRef>
              <f>'Dashboard'!$B$45:$B$56</f>
            </numRef>
          </val>
        </ser>
        <ser>
          <idx val="1"/>
          <order val="1"/>
          <tx>
            <strRef>
              <f>'Dashboard'!C44</f>
            </strRef>
          </tx>
          <spPr>
            <a:ln>
              <a:prstDash val="solid"/>
            </a:ln>
          </spPr>
          <cat>
            <numRef>
              <f>'Dashboard'!$A$45:$A$56</f>
            </numRef>
          </cat>
          <val>
            <numRef>
              <f>'Dashboard'!$C$45:$C$56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 by Main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'Dashboard'!G44</f>
            </strRef>
          </tx>
          <spPr>
            <a:ln>
              <a:prstDash val="solid"/>
            </a:ln>
          </spPr>
          <cat>
            <numRef>
              <f>'Dashboard'!$F$45:$F$54</f>
            </numRef>
          </cat>
          <val>
            <numRef>
              <f>'Dashboard'!$G$45:$G$54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by Source</a:t>
            </a:r>
          </a:p>
        </rich>
      </tx>
    </title>
    <plotArea>
      <pieChart>
        <varyColors val="1"/>
        <ser>
          <idx val="0"/>
          <order val="0"/>
          <tx>
            <strRef>
              <f>'Dashboard'!J44</f>
            </strRef>
          </tx>
          <spPr>
            <a:ln>
              <a:prstDash val="solid"/>
            </a:ln>
          </spPr>
          <cat>
            <numRef>
              <f>'Dashboard'!$I$45:$I$48</f>
            </numRef>
          </cat>
          <val>
            <numRef>
              <f>'Dashboard'!$J$45:$J$48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6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23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23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bCategoryDetail" displayName="SubCategoryDetail" ref="A60:C128" headerRowCount="1">
  <autoFilter ref="A60:C128"/>
  <tableColumns count="3">
    <tableColumn id="1" name="Main Category"/>
    <tableColumn id="2" name="Sub-Category"/>
    <tableColumn id="3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22" customWidth="1" min="6" max="6"/>
    <col width="16" customWidth="1" min="7" max="7"/>
    <col width="22" customWidth="1" min="9" max="9"/>
    <col width="16" customWidth="1" min="10" max="10"/>
    <col width="14" customWidth="1" min="12" max="12"/>
    <col width="16" customWidth="1" min="13" max="13"/>
  </cols>
  <sheetData>
    <row r="1">
      <c r="A1" s="8" t="inlineStr">
        <is>
          <t>Site Expense Dashboard</t>
        </is>
      </c>
    </row>
    <row r="3">
      <c r="A3" s="9" t="inlineStr">
        <is>
          <t>Current Cash Balance</t>
        </is>
      </c>
      <c r="C3" s="12" t="inlineStr">
        <is>
          <t>YTD Total Receipts</t>
        </is>
      </c>
      <c r="E3" s="13" t="inlineStr">
        <is>
          <t>YTD Total Payments</t>
        </is>
      </c>
      <c r="G3" s="9" t="inlineStr">
        <is>
          <t>Net Position (YTD)</t>
        </is>
      </c>
    </row>
    <row r="4">
      <c r="A4" s="10">
        <f>'Dec2026'!B106</f>
        <v/>
      </c>
      <c r="C4" s="10">
        <f>SUM(B45:B56)</f>
        <v/>
      </c>
      <c r="E4" s="10">
        <f>SUM(C45:C56)</f>
        <v/>
      </c>
      <c r="G4" s="10">
        <f>C4-E4</f>
        <v/>
      </c>
    </row>
    <row r="44">
      <c r="A44" s="4" t="inlineStr">
        <is>
          <t>Month</t>
        </is>
      </c>
      <c r="B44" s="2" t="inlineStr">
        <is>
          <t>Receipts</t>
        </is>
      </c>
      <c r="C44" s="3" t="inlineStr">
        <is>
          <t>Payments</t>
        </is>
      </c>
      <c r="D44" s="4" t="inlineStr">
        <is>
          <t>Closing Balance</t>
        </is>
      </c>
      <c r="F44" s="3" t="inlineStr">
        <is>
          <t>Main Category</t>
        </is>
      </c>
      <c r="G44" s="3" t="inlineStr">
        <is>
          <t>Amount</t>
        </is>
      </c>
      <c r="I44" s="2" t="inlineStr">
        <is>
          <t>Income Category</t>
        </is>
      </c>
      <c r="J44" s="2" t="inlineStr">
        <is>
          <t>Amount</t>
        </is>
      </c>
      <c r="L44" s="4" t="inlineStr">
        <is>
          <t>Payment Mode</t>
        </is>
      </c>
      <c r="M44" s="4" t="inlineStr">
        <is>
          <t>Amount</t>
        </is>
      </c>
    </row>
    <row r="45">
      <c r="A45" t="inlineStr">
        <is>
          <t>Jan2026</t>
        </is>
      </c>
      <c r="B45" s="11">
        <f>'Jan2026'!B104</f>
        <v/>
      </c>
      <c r="C45" s="11">
        <f>'Jan2026'!B105</f>
        <v/>
      </c>
      <c r="D45" s="11">
        <f>'Jan2026'!B106</f>
        <v/>
      </c>
      <c r="F45" t="inlineStr">
        <is>
          <t>Land &amp; Legal</t>
        </is>
      </c>
      <c r="G45" s="11">
        <f>SUMIFS(Jan2026!K3:K100,Jan2026!L3:L100,$F45)+SUMIFS(Feb2026!K3:K100,Feb2026!L3:L100,$F45)+SUMIFS(Mar2026!K3:K100,Mar2026!L3:L100,$F45)+SUMIFS(Apr2026!K3:K100,Apr2026!L3:L100,$F45)+SUMIFS(May2026!K3:K100,May2026!L3:L100,$F45)+SUMIFS(Jun2026!K3:K100,Jun2026!L3:L100,$F45)+SUMIFS(Jul2026!K3:K100,Jul2026!L3:L100,$F45)+SUMIFS(Aug2026!K3:K100,Aug2026!L3:L100,$F45)+SUMIFS(Sep2026!K3:K100,Sep2026!L3:L100,$F45)+SUMIFS(Oct2026!K3:K100,Oct2026!L3:L100,$F45)+SUMIFS(Nov2026!K3:K100,Nov2026!L3:L100,$F45)+SUMIFS(Dec2026!K3:K100,Dec2026!L3:L100,$F45)</f>
        <v/>
      </c>
      <c r="I45" t="inlineStr">
        <is>
          <t>Investor Capital</t>
        </is>
      </c>
      <c r="J45" s="11">
        <f>SUMIFS(Jan2026!D3:D100,Jan2026!E3:E100,$I45)+SUMIFS(Feb2026!D3:D100,Feb2026!E3:E100,$I45)+SUMIFS(Mar2026!D3:D100,Mar2026!E3:E100,$I45)+SUMIFS(Apr2026!D3:D100,Apr2026!E3:E100,$I45)+SUMIFS(May2026!D3:D100,May2026!E3:E100,$I45)+SUMIFS(Jun2026!D3:D100,Jun2026!E3:E100,$I45)+SUMIFS(Jul2026!D3:D100,Jul2026!E3:E100,$I45)+SUMIFS(Aug2026!D3:D100,Aug2026!E3:E100,$I45)+SUMIFS(Sep2026!D3:D100,Sep2026!E3:E100,$I45)+SUMIFS(Oct2026!D3:D100,Oct2026!E3:E100,$I45)+SUMIFS(Nov2026!D3:D100,Nov2026!E3:E100,$I45)+SUMIFS(Dec2026!D3:D100,Dec2026!E3:E100,$I45)</f>
        <v/>
      </c>
      <c r="L45" t="inlineStr">
        <is>
          <t>Bank</t>
        </is>
      </c>
      <c r="M45" s="11">
        <f>SUMIFS(Jan2026!D3:D100,Jan2026!F3:F100,$L45)+SUMIFS(Jan2026!K3:K100,Jan2026!N3:N100,$L45)+SUMIFS(Feb2026!D3:D100,Feb2026!F3:F100,$L45)+SUMIFS(Feb2026!K3:K100,Feb2026!N3:N100,$L45)+SUMIFS(Mar2026!D3:D100,Mar2026!F3:F100,$L45)+SUMIFS(Mar2026!K3:K100,Mar2026!N3:N100,$L45)+SUMIFS(Apr2026!D3:D100,Apr2026!F3:F100,$L45)+SUMIFS(Apr2026!K3:K100,Apr2026!N3:N100,$L45)+SUMIFS(May2026!D3:D100,May2026!F3:F100,$L45)+SUMIFS(May2026!K3:K100,May2026!N3:N100,$L45)+SUMIFS(Jun2026!D3:D100,Jun2026!F3:F100,$L45)+SUMIFS(Jun2026!K3:K100,Jun2026!N3:N100,$L45)+SUMIFS(Jul2026!D3:D100,Jul2026!F3:F100,$L45)+SUMIFS(Jul2026!K3:K100,Jul2026!N3:N100,$L45)+SUMIFS(Aug2026!D3:D100,Aug2026!F3:F100,$L45)+SUMIFS(Aug2026!K3:K100,Aug2026!N3:N100,$L45)+SUMIFS(Sep2026!D3:D100,Sep2026!F3:F100,$L45)+SUMIFS(Sep2026!K3:K100,Sep2026!N3:N100,$L45)+SUMIFS(Oct2026!D3:D100,Oct2026!F3:F100,$L45)+SUMIFS(Oct2026!K3:K100,Oct2026!N3:N100,$L45)+SUMIFS(Nov2026!D3:D100,Nov2026!F3:F100,$L45)+SUMIFS(Nov2026!K3:K100,Nov2026!N3:N100,$L45)+SUMIFS(Dec2026!D3:D100,Dec2026!F3:F100,$L45)+SUMIFS(Dec2026!K3:K100,Dec2026!N3:N100,$L45)</f>
        <v/>
      </c>
    </row>
    <row r="46">
      <c r="A46" t="inlineStr">
        <is>
          <t>Feb2026</t>
        </is>
      </c>
      <c r="B46" s="11">
        <f>'Feb2026'!B104</f>
        <v/>
      </c>
      <c r="C46" s="11">
        <f>'Feb2026'!B105</f>
        <v/>
      </c>
      <c r="D46" s="11">
        <f>'Feb2026'!B106</f>
        <v/>
      </c>
      <c r="F46" t="inlineStr">
        <is>
          <t>Site Development</t>
        </is>
      </c>
      <c r="G46" s="11">
        <f>SUMIFS(Jan2026!K3:K100,Jan2026!L3:L100,$F46)+SUMIFS(Feb2026!K3:K100,Feb2026!L3:L100,$F46)+SUMIFS(Mar2026!K3:K100,Mar2026!L3:L100,$F46)+SUMIFS(Apr2026!K3:K100,Apr2026!L3:L100,$F46)+SUMIFS(May2026!K3:K100,May2026!L3:L100,$F46)+SUMIFS(Jun2026!K3:K100,Jun2026!L3:L100,$F46)+SUMIFS(Jul2026!K3:K100,Jul2026!L3:L100,$F46)+SUMIFS(Aug2026!K3:K100,Aug2026!L3:L100,$F46)+SUMIFS(Sep2026!K3:K100,Sep2026!L3:L100,$F46)+SUMIFS(Oct2026!K3:K100,Oct2026!L3:L100,$F46)+SUMIFS(Nov2026!K3:K100,Nov2026!L3:L100,$F46)+SUMIFS(Dec2026!K3:K100,Dec2026!L3:L100,$F46)</f>
        <v/>
      </c>
      <c r="I46" t="inlineStr">
        <is>
          <t>Partner Contribution</t>
        </is>
      </c>
      <c r="J46" s="11">
        <f>SUMIFS(Jan2026!D3:D100,Jan2026!E3:E100,$I46)+SUMIFS(Feb2026!D3:D100,Feb2026!E3:E100,$I46)+SUMIFS(Mar2026!D3:D100,Mar2026!E3:E100,$I46)+SUMIFS(Apr2026!D3:D100,Apr2026!E3:E100,$I46)+SUMIFS(May2026!D3:D100,May2026!E3:E100,$I46)+SUMIFS(Jun2026!D3:D100,Jun2026!E3:E100,$I46)+SUMIFS(Jul2026!D3:D100,Jul2026!E3:E100,$I46)+SUMIFS(Aug2026!D3:D100,Aug2026!E3:E100,$I46)+SUMIFS(Sep2026!D3:D100,Sep2026!E3:E100,$I46)+SUMIFS(Oct2026!D3:D100,Oct2026!E3:E100,$I46)+SUMIFS(Nov2026!D3:D100,Nov2026!E3:E100,$I46)+SUMIFS(Dec2026!D3:D100,Dec2026!E3:E100,$I46)</f>
        <v/>
      </c>
      <c r="L46" t="inlineStr">
        <is>
          <t>Cash</t>
        </is>
      </c>
      <c r="M46" s="11">
        <f>SUMIFS(Jan2026!D3:D100,Jan2026!F3:F100,$L46)+SUMIFS(Jan2026!K3:K100,Jan2026!N3:N100,$L46)+SUMIFS(Feb2026!D3:D100,Feb2026!F3:F100,$L46)+SUMIFS(Feb2026!K3:K100,Feb2026!N3:N100,$L46)+SUMIFS(Mar2026!D3:D100,Mar2026!F3:F100,$L46)+SUMIFS(Mar2026!K3:K100,Mar2026!N3:N100,$L46)+SUMIFS(Apr2026!D3:D100,Apr2026!F3:F100,$L46)+SUMIFS(Apr2026!K3:K100,Apr2026!N3:N100,$L46)+SUMIFS(May2026!D3:D100,May2026!F3:F100,$L46)+SUMIFS(May2026!K3:K100,May2026!N3:N100,$L46)+SUMIFS(Jun2026!D3:D100,Jun2026!F3:F100,$L46)+SUMIFS(Jun2026!K3:K100,Jun2026!N3:N100,$L46)+SUMIFS(Jul2026!D3:D100,Jul2026!F3:F100,$L46)+SUMIFS(Jul2026!K3:K100,Jul2026!N3:N100,$L46)+SUMIFS(Aug2026!D3:D100,Aug2026!F3:F100,$L46)+SUMIFS(Aug2026!K3:K100,Aug2026!N3:N100,$L46)+SUMIFS(Sep2026!D3:D100,Sep2026!F3:F100,$L46)+SUMIFS(Sep2026!K3:K100,Sep2026!N3:N100,$L46)+SUMIFS(Oct2026!D3:D100,Oct2026!F3:F100,$L46)+SUMIFS(Oct2026!K3:K100,Oct2026!N3:N100,$L46)+SUMIFS(Nov2026!D3:D100,Nov2026!F3:F100,$L46)+SUMIFS(Nov2026!K3:K100,Nov2026!N3:N100,$L46)+SUMIFS(Dec2026!D3:D100,Dec2026!F3:F100,$L46)+SUMIFS(Dec2026!K3:K100,Dec2026!N3:N100,$L46)</f>
        <v/>
      </c>
    </row>
    <row r="47">
      <c r="A47" t="inlineStr">
        <is>
          <t>Mar2026</t>
        </is>
      </c>
      <c r="B47" s="11">
        <f>'Mar2026'!B104</f>
        <v/>
      </c>
      <c r="C47" s="11">
        <f>'Mar2026'!B105</f>
        <v/>
      </c>
      <c r="D47" s="11">
        <f>'Mar2026'!B106</f>
        <v/>
      </c>
      <c r="F47" t="inlineStr">
        <is>
          <t>Utilities</t>
        </is>
      </c>
      <c r="G47" s="11">
        <f>SUMIFS(Jan2026!K3:K100,Jan2026!L3:L100,$F47)+SUMIFS(Feb2026!K3:K100,Feb2026!L3:L100,$F47)+SUMIFS(Mar2026!K3:K100,Mar2026!L3:L100,$F47)+SUMIFS(Apr2026!K3:K100,Apr2026!L3:L100,$F47)+SUMIFS(May2026!K3:K100,May2026!L3:L100,$F47)+SUMIFS(Jun2026!K3:K100,Jun2026!L3:L100,$F47)+SUMIFS(Jul2026!K3:K100,Jul2026!L3:L100,$F47)+SUMIFS(Aug2026!K3:K100,Aug2026!L3:L100,$F47)+SUMIFS(Sep2026!K3:K100,Sep2026!L3:L100,$F47)+SUMIFS(Oct2026!K3:K100,Oct2026!L3:L100,$F47)+SUMIFS(Nov2026!K3:K100,Nov2026!L3:L100,$F47)+SUMIFS(Dec2026!K3:K100,Dec2026!L3:L100,$F47)</f>
        <v/>
      </c>
      <c r="I47" t="inlineStr">
        <is>
          <t>Loan Received</t>
        </is>
      </c>
      <c r="J47" s="11">
        <f>SUMIFS(Jan2026!D3:D100,Jan2026!E3:E100,$I47)+SUMIFS(Feb2026!D3:D100,Feb2026!E3:E100,$I47)+SUMIFS(Mar2026!D3:D100,Mar2026!E3:E100,$I47)+SUMIFS(Apr2026!D3:D100,Apr2026!E3:E100,$I47)+SUMIFS(May2026!D3:D100,May2026!E3:E100,$I47)+SUMIFS(Jun2026!D3:D100,Jun2026!E3:E100,$I47)+SUMIFS(Jul2026!D3:D100,Jul2026!E3:E100,$I47)+SUMIFS(Aug2026!D3:D100,Aug2026!E3:E100,$I47)+SUMIFS(Sep2026!D3:D100,Sep2026!E3:E100,$I47)+SUMIFS(Oct2026!D3:D100,Oct2026!E3:E100,$I47)+SUMIFS(Nov2026!D3:D100,Nov2026!E3:E100,$I47)+SUMIFS(Dec2026!D3:D100,Dec2026!E3:E100,$I47)</f>
        <v/>
      </c>
    </row>
    <row r="48">
      <c r="A48" t="inlineStr">
        <is>
          <t>Apr2026</t>
        </is>
      </c>
      <c r="B48" s="11">
        <f>'Apr2026'!B104</f>
        <v/>
      </c>
      <c r="C48" s="11">
        <f>'Apr2026'!B105</f>
        <v/>
      </c>
      <c r="D48" s="11">
        <f>'Apr2026'!B106</f>
        <v/>
      </c>
      <c r="F48" t="inlineStr">
        <is>
          <t>Landscaping</t>
        </is>
      </c>
      <c r="G48" s="11">
        <f>SUMIFS(Jan2026!K3:K100,Jan2026!L3:L100,$F48)+SUMIFS(Feb2026!K3:K100,Feb2026!L3:L100,$F48)+SUMIFS(Mar2026!K3:K100,Mar2026!L3:L100,$F48)+SUMIFS(Apr2026!K3:K100,Apr2026!L3:L100,$F48)+SUMIFS(May2026!K3:K100,May2026!L3:L100,$F48)+SUMIFS(Jun2026!K3:K100,Jun2026!L3:L100,$F48)+SUMIFS(Jul2026!K3:K100,Jul2026!L3:L100,$F48)+SUMIFS(Aug2026!K3:K100,Aug2026!L3:L100,$F48)+SUMIFS(Sep2026!K3:K100,Sep2026!L3:L100,$F48)+SUMIFS(Oct2026!K3:K100,Oct2026!L3:L100,$F48)+SUMIFS(Nov2026!K3:K100,Nov2026!L3:L100,$F48)+SUMIFS(Dec2026!K3:K100,Dec2026!L3:L100,$F48)</f>
        <v/>
      </c>
      <c r="I48" t="inlineStr">
        <is>
          <t>Sales</t>
        </is>
      </c>
      <c r="J48" s="11">
        <f>SUMIFS(Jan2026!D3:D100,Jan2026!E3:E100,$I48)+SUMIFS(Feb2026!D3:D100,Feb2026!E3:E100,$I48)+SUMIFS(Mar2026!D3:D100,Mar2026!E3:E100,$I48)+SUMIFS(Apr2026!D3:D100,Apr2026!E3:E100,$I48)+SUMIFS(May2026!D3:D100,May2026!E3:E100,$I48)+SUMIFS(Jun2026!D3:D100,Jun2026!E3:E100,$I48)+SUMIFS(Jul2026!D3:D100,Jul2026!E3:E100,$I48)+SUMIFS(Aug2026!D3:D100,Aug2026!E3:E100,$I48)+SUMIFS(Sep2026!D3:D100,Sep2026!E3:E100,$I48)+SUMIFS(Oct2026!D3:D100,Oct2026!E3:E100,$I48)+SUMIFS(Nov2026!D3:D100,Nov2026!E3:E100,$I48)+SUMIFS(Dec2026!D3:D100,Dec2026!E3:E100,$I48)</f>
        <v/>
      </c>
    </row>
    <row r="49">
      <c r="A49" t="inlineStr">
        <is>
          <t>May2026</t>
        </is>
      </c>
      <c r="B49" s="11">
        <f>'May2026'!B104</f>
        <v/>
      </c>
      <c r="C49" s="11">
        <f>'May2026'!B105</f>
        <v/>
      </c>
      <c r="D49" s="11">
        <f>'May2026'!B106</f>
        <v/>
      </c>
      <c r="F49" t="inlineStr">
        <is>
          <t>Buildings &amp; Amenities</t>
        </is>
      </c>
      <c r="G49" s="11">
        <f>SUMIFS(Jan2026!K3:K100,Jan2026!L3:L100,$F49)+SUMIFS(Feb2026!K3:K100,Feb2026!L3:L100,$F49)+SUMIFS(Mar2026!K3:K100,Mar2026!L3:L100,$F49)+SUMIFS(Apr2026!K3:K100,Apr2026!L3:L100,$F49)+SUMIFS(May2026!K3:K100,May2026!L3:L100,$F49)+SUMIFS(Jun2026!K3:K100,Jun2026!L3:L100,$F49)+SUMIFS(Jul2026!K3:K100,Jul2026!L3:L100,$F49)+SUMIFS(Aug2026!K3:K100,Aug2026!L3:L100,$F49)+SUMIFS(Sep2026!K3:K100,Sep2026!L3:L100,$F49)+SUMIFS(Oct2026!K3:K100,Oct2026!L3:L100,$F49)+SUMIFS(Nov2026!K3:K100,Nov2026!L3:L100,$F49)+SUMIFS(Dec2026!K3:K100,Dec2026!L3:L100,$F49)</f>
        <v/>
      </c>
    </row>
    <row r="50">
      <c r="A50" t="inlineStr">
        <is>
          <t>Jun2026</t>
        </is>
      </c>
      <c r="B50" s="11">
        <f>'Jun2026'!B104</f>
        <v/>
      </c>
      <c r="C50" s="11">
        <f>'Jun2026'!B105</f>
        <v/>
      </c>
      <c r="D50" s="11">
        <f>'Jun2026'!B106</f>
        <v/>
      </c>
      <c r="F50" t="inlineStr">
        <is>
          <t>Labour &amp; Contractors</t>
        </is>
      </c>
      <c r="G50" s="11">
        <f>SUMIFS(Jan2026!K3:K100,Jan2026!L3:L100,$F50)+SUMIFS(Feb2026!K3:K100,Feb2026!L3:L100,$F50)+SUMIFS(Mar2026!K3:K100,Mar2026!L3:L100,$F50)+SUMIFS(Apr2026!K3:K100,Apr2026!L3:L100,$F50)+SUMIFS(May2026!K3:K100,May2026!L3:L100,$F50)+SUMIFS(Jun2026!K3:K100,Jun2026!L3:L100,$F50)+SUMIFS(Jul2026!K3:K100,Jul2026!L3:L100,$F50)+SUMIFS(Aug2026!K3:K100,Aug2026!L3:L100,$F50)+SUMIFS(Sep2026!K3:K100,Sep2026!L3:L100,$F50)+SUMIFS(Oct2026!K3:K100,Oct2026!L3:L100,$F50)+SUMIFS(Nov2026!K3:K100,Nov2026!L3:L100,$F50)+SUMIFS(Dec2026!K3:K100,Dec2026!L3:L100,$F50)</f>
        <v/>
      </c>
    </row>
    <row r="51">
      <c r="A51" t="inlineStr">
        <is>
          <t>Jul2026</t>
        </is>
      </c>
      <c r="B51" s="11">
        <f>'Jul2026'!B104</f>
        <v/>
      </c>
      <c r="C51" s="11">
        <f>'Jul2026'!B105</f>
        <v/>
      </c>
      <c r="D51" s="11">
        <f>'Jul2026'!B106</f>
        <v/>
      </c>
      <c r="F51" t="inlineStr">
        <is>
          <t>Materials</t>
        </is>
      </c>
      <c r="G51" s="11">
        <f>SUMIFS(Jan2026!K3:K100,Jan2026!L3:L100,$F51)+SUMIFS(Feb2026!K3:K100,Feb2026!L3:L100,$F51)+SUMIFS(Mar2026!K3:K100,Mar2026!L3:L100,$F51)+SUMIFS(Apr2026!K3:K100,Apr2026!L3:L100,$F51)+SUMIFS(May2026!K3:K100,May2026!L3:L100,$F51)+SUMIFS(Jun2026!K3:K100,Jun2026!L3:L100,$F51)+SUMIFS(Jul2026!K3:K100,Jul2026!L3:L100,$F51)+SUMIFS(Aug2026!K3:K100,Aug2026!L3:L100,$F51)+SUMIFS(Sep2026!K3:K100,Sep2026!L3:L100,$F51)+SUMIFS(Oct2026!K3:K100,Oct2026!L3:L100,$F51)+SUMIFS(Nov2026!K3:K100,Nov2026!L3:L100,$F51)+SUMIFS(Dec2026!K3:K100,Dec2026!L3:L100,$F51)</f>
        <v/>
      </c>
    </row>
    <row r="52">
      <c r="A52" t="inlineStr">
        <is>
          <t>Aug2026</t>
        </is>
      </c>
      <c r="B52" s="11">
        <f>'Aug2026'!B104</f>
        <v/>
      </c>
      <c r="C52" s="11">
        <f>'Aug2026'!B105</f>
        <v/>
      </c>
      <c r="D52" s="11">
        <f>'Aug2026'!B106</f>
        <v/>
      </c>
      <c r="F52" t="inlineStr">
        <is>
          <t>Operations</t>
        </is>
      </c>
      <c r="G52" s="11">
        <f>SUMIFS(Jan2026!K3:K100,Jan2026!L3:L100,$F52)+SUMIFS(Feb2026!K3:K100,Feb2026!L3:L100,$F52)+SUMIFS(Mar2026!K3:K100,Mar2026!L3:L100,$F52)+SUMIFS(Apr2026!K3:K100,Apr2026!L3:L100,$F52)+SUMIFS(May2026!K3:K100,May2026!L3:L100,$F52)+SUMIFS(Jun2026!K3:K100,Jun2026!L3:L100,$F52)+SUMIFS(Jul2026!K3:K100,Jul2026!L3:L100,$F52)+SUMIFS(Aug2026!K3:K100,Aug2026!L3:L100,$F52)+SUMIFS(Sep2026!K3:K100,Sep2026!L3:L100,$F52)+SUMIFS(Oct2026!K3:K100,Oct2026!L3:L100,$F52)+SUMIFS(Nov2026!K3:K100,Nov2026!L3:L100,$F52)+SUMIFS(Dec2026!K3:K100,Dec2026!L3:L100,$F52)</f>
        <v/>
      </c>
    </row>
    <row r="53">
      <c r="A53" t="inlineStr">
        <is>
          <t>Sep2026</t>
        </is>
      </c>
      <c r="B53" s="11">
        <f>'Sep2026'!B104</f>
        <v/>
      </c>
      <c r="C53" s="11">
        <f>'Sep2026'!B105</f>
        <v/>
      </c>
      <c r="D53" s="11">
        <f>'Sep2026'!B106</f>
        <v/>
      </c>
      <c r="F53" t="inlineStr">
        <is>
          <t>Marketing &amp; Sales</t>
        </is>
      </c>
      <c r="G53" s="11">
        <f>SUMIFS(Jan2026!K3:K100,Jan2026!L3:L100,$F53)+SUMIFS(Feb2026!K3:K100,Feb2026!L3:L100,$F53)+SUMIFS(Mar2026!K3:K100,Mar2026!L3:L100,$F53)+SUMIFS(Apr2026!K3:K100,Apr2026!L3:L100,$F53)+SUMIFS(May2026!K3:K100,May2026!L3:L100,$F53)+SUMIFS(Jun2026!K3:K100,Jun2026!L3:L100,$F53)+SUMIFS(Jul2026!K3:K100,Jul2026!L3:L100,$F53)+SUMIFS(Aug2026!K3:K100,Aug2026!L3:L100,$F53)+SUMIFS(Sep2026!K3:K100,Sep2026!L3:L100,$F53)+SUMIFS(Oct2026!K3:K100,Oct2026!L3:L100,$F53)+SUMIFS(Nov2026!K3:K100,Nov2026!L3:L100,$F53)+SUMIFS(Dec2026!K3:K100,Dec2026!L3:L100,$F53)</f>
        <v/>
      </c>
    </row>
    <row r="54">
      <c r="A54" t="inlineStr">
        <is>
          <t>Oct2026</t>
        </is>
      </c>
      <c r="B54" s="11">
        <f>'Oct2026'!B104</f>
        <v/>
      </c>
      <c r="C54" s="11">
        <f>'Oct2026'!B105</f>
        <v/>
      </c>
      <c r="D54" s="11">
        <f>'Oct2026'!B106</f>
        <v/>
      </c>
      <c r="F54" t="inlineStr">
        <is>
          <t>Miscellaneous</t>
        </is>
      </c>
      <c r="G54" s="11">
        <f>SUMIFS(Jan2026!K3:K100,Jan2026!L3:L100,$F54)+SUMIFS(Feb2026!K3:K100,Feb2026!L3:L100,$F54)+SUMIFS(Mar2026!K3:K100,Mar2026!L3:L100,$F54)+SUMIFS(Apr2026!K3:K100,Apr2026!L3:L100,$F54)+SUMIFS(May2026!K3:K100,May2026!L3:L100,$F54)+SUMIFS(Jun2026!K3:K100,Jun2026!L3:L100,$F54)+SUMIFS(Jul2026!K3:K100,Jul2026!L3:L100,$F54)+SUMIFS(Aug2026!K3:K100,Aug2026!L3:L100,$F54)+SUMIFS(Sep2026!K3:K100,Sep2026!L3:L100,$F54)+SUMIFS(Oct2026!K3:K100,Oct2026!L3:L100,$F54)+SUMIFS(Nov2026!K3:K100,Nov2026!L3:L100,$F54)+SUMIFS(Dec2026!K3:K100,Dec2026!L3:L100,$F54)</f>
        <v/>
      </c>
    </row>
    <row r="55">
      <c r="A55" t="inlineStr">
        <is>
          <t>Nov2026</t>
        </is>
      </c>
      <c r="B55" s="11">
        <f>'Nov2026'!B104</f>
        <v/>
      </c>
      <c r="C55" s="11">
        <f>'Nov2026'!B105</f>
        <v/>
      </c>
      <c r="D55" s="11">
        <f>'Nov2026'!B106</f>
        <v/>
      </c>
    </row>
    <row r="56">
      <c r="A56" t="inlineStr">
        <is>
          <t>Dec2026</t>
        </is>
      </c>
      <c r="B56" s="11">
        <f>'Dec2026'!B104</f>
        <v/>
      </c>
      <c r="C56" s="11">
        <f>'Dec2026'!B105</f>
        <v/>
      </c>
      <c r="D56" s="11">
        <f>'Dec2026'!B106</f>
        <v/>
      </c>
    </row>
    <row r="60">
      <c r="A60" s="3" t="inlineStr">
        <is>
          <t>Main Category</t>
        </is>
      </c>
      <c r="B60" s="3" t="inlineStr">
        <is>
          <t>Sub-Category</t>
        </is>
      </c>
      <c r="C60" s="3" t="inlineStr">
        <is>
          <t>Amount</t>
        </is>
      </c>
    </row>
    <row r="61">
      <c r="A61" t="inlineStr">
        <is>
          <t>Land &amp; Legal</t>
        </is>
      </c>
      <c r="B61" t="inlineStr">
        <is>
          <t>Land Purchase</t>
        </is>
      </c>
      <c r="C61" s="11">
        <f>SUMIFS(Jan2026!K3:K100,Jan2026!L3:L100,$A61,Jan2026!M3:M100,$B61)+SUMIFS(Feb2026!K3:K100,Feb2026!L3:L100,$A61,Feb2026!M3:M100,$B61)+SUMIFS(Mar2026!K3:K100,Mar2026!L3:L100,$A61,Mar2026!M3:M100,$B61)+SUMIFS(Apr2026!K3:K100,Apr2026!L3:L100,$A61,Apr2026!M3:M100,$B61)+SUMIFS(May2026!K3:K100,May2026!L3:L100,$A61,May2026!M3:M100,$B61)+SUMIFS(Jun2026!K3:K100,Jun2026!L3:L100,$A61,Jun2026!M3:M100,$B61)+SUMIFS(Jul2026!K3:K100,Jul2026!L3:L100,$A61,Jul2026!M3:M100,$B61)+SUMIFS(Aug2026!K3:K100,Aug2026!L3:L100,$A61,Aug2026!M3:M100,$B61)+SUMIFS(Sep2026!K3:K100,Sep2026!L3:L100,$A61,Sep2026!M3:M100,$B61)+SUMIFS(Oct2026!K3:K100,Oct2026!L3:L100,$A61,Oct2026!M3:M100,$B61)+SUMIFS(Nov2026!K3:K100,Nov2026!L3:L100,$A61,Nov2026!M3:M100,$B61)+SUMIFS(Dec2026!K3:K100,Dec2026!L3:L100,$A61,Dec2026!M3:M100,$B61)</f>
        <v/>
      </c>
    </row>
    <row r="62">
      <c r="A62" t="inlineStr">
        <is>
          <t>Land &amp; Legal</t>
        </is>
      </c>
      <c r="B62" t="inlineStr">
        <is>
          <t>Advance Payments</t>
        </is>
      </c>
      <c r="C62" s="11">
        <f>SUMIFS(Jan2026!K3:K100,Jan2026!L3:L100,$A62,Jan2026!M3:M100,$B62)+SUMIFS(Feb2026!K3:K100,Feb2026!L3:L100,$A62,Feb2026!M3:M100,$B62)+SUMIFS(Mar2026!K3:K100,Mar2026!L3:L100,$A62,Mar2026!M3:M100,$B62)+SUMIFS(Apr2026!K3:K100,Apr2026!L3:L100,$A62,Apr2026!M3:M100,$B62)+SUMIFS(May2026!K3:K100,May2026!L3:L100,$A62,May2026!M3:M100,$B62)+SUMIFS(Jun2026!K3:K100,Jun2026!L3:L100,$A62,Jun2026!M3:M100,$B62)+SUMIFS(Jul2026!K3:K100,Jul2026!L3:L100,$A62,Jul2026!M3:M100,$B62)+SUMIFS(Aug2026!K3:K100,Aug2026!L3:L100,$A62,Aug2026!M3:M100,$B62)+SUMIFS(Sep2026!K3:K100,Sep2026!L3:L100,$A62,Sep2026!M3:M100,$B62)+SUMIFS(Oct2026!K3:K100,Oct2026!L3:L100,$A62,Oct2026!M3:M100,$B62)+SUMIFS(Nov2026!K3:K100,Nov2026!L3:L100,$A62,Nov2026!M3:M100,$B62)+SUMIFS(Dec2026!K3:K100,Dec2026!L3:L100,$A62,Dec2026!M3:M100,$B62)</f>
        <v/>
      </c>
    </row>
    <row r="63">
      <c r="A63" t="inlineStr">
        <is>
          <t>Land &amp; Legal</t>
        </is>
      </c>
      <c r="B63" t="inlineStr">
        <is>
          <t>Registration Charges</t>
        </is>
      </c>
      <c r="C63" s="11">
        <f>SUMIFS(Jan2026!K3:K100,Jan2026!L3:L100,$A63,Jan2026!M3:M100,$B63)+SUMIFS(Feb2026!K3:K100,Feb2026!L3:L100,$A63,Feb2026!M3:M100,$B63)+SUMIFS(Mar2026!K3:K100,Mar2026!L3:L100,$A63,Mar2026!M3:M100,$B63)+SUMIFS(Apr2026!K3:K100,Apr2026!L3:L100,$A63,Apr2026!M3:M100,$B63)+SUMIFS(May2026!K3:K100,May2026!L3:L100,$A63,May2026!M3:M100,$B63)+SUMIFS(Jun2026!K3:K100,Jun2026!L3:L100,$A63,Jun2026!M3:M100,$B63)+SUMIFS(Jul2026!K3:K100,Jul2026!L3:L100,$A63,Jul2026!M3:M100,$B63)+SUMIFS(Aug2026!K3:K100,Aug2026!L3:L100,$A63,Aug2026!M3:M100,$B63)+SUMIFS(Sep2026!K3:K100,Sep2026!L3:L100,$A63,Sep2026!M3:M100,$B63)+SUMIFS(Oct2026!K3:K100,Oct2026!L3:L100,$A63,Oct2026!M3:M100,$B63)+SUMIFS(Nov2026!K3:K100,Nov2026!L3:L100,$A63,Nov2026!M3:M100,$B63)+SUMIFS(Dec2026!K3:K100,Dec2026!L3:L100,$A63,Dec2026!M3:M100,$B63)</f>
        <v/>
      </c>
    </row>
    <row r="64">
      <c r="A64" t="inlineStr">
        <is>
          <t>Land &amp; Legal</t>
        </is>
      </c>
      <c r="B64" t="inlineStr">
        <is>
          <t>Stamp Duty</t>
        </is>
      </c>
      <c r="C64" s="11">
        <f>SUMIFS(Jan2026!K3:K100,Jan2026!L3:L100,$A64,Jan2026!M3:M100,$B64)+SUMIFS(Feb2026!K3:K100,Feb2026!L3:L100,$A64,Feb2026!M3:M100,$B64)+SUMIFS(Mar2026!K3:K100,Mar2026!L3:L100,$A64,Mar2026!M3:M100,$B64)+SUMIFS(Apr2026!K3:K100,Apr2026!L3:L100,$A64,Apr2026!M3:M100,$B64)+SUMIFS(May2026!K3:K100,May2026!L3:L100,$A64,May2026!M3:M100,$B64)+SUMIFS(Jun2026!K3:K100,Jun2026!L3:L100,$A64,Jun2026!M3:M100,$B64)+SUMIFS(Jul2026!K3:K100,Jul2026!L3:L100,$A64,Jul2026!M3:M100,$B64)+SUMIFS(Aug2026!K3:K100,Aug2026!L3:L100,$A64,Aug2026!M3:M100,$B64)+SUMIFS(Sep2026!K3:K100,Sep2026!L3:L100,$A64,Sep2026!M3:M100,$B64)+SUMIFS(Oct2026!K3:K100,Oct2026!L3:L100,$A64,Oct2026!M3:M100,$B64)+SUMIFS(Nov2026!K3:K100,Nov2026!L3:L100,$A64,Nov2026!M3:M100,$B64)+SUMIFS(Dec2026!K3:K100,Dec2026!L3:L100,$A64,Dec2026!M3:M100,$B64)</f>
        <v/>
      </c>
    </row>
    <row r="65">
      <c r="A65" t="inlineStr">
        <is>
          <t>Land &amp; Legal</t>
        </is>
      </c>
      <c r="B65" t="inlineStr">
        <is>
          <t>Legal Fees</t>
        </is>
      </c>
      <c r="C65" s="11">
        <f>SUMIFS(Jan2026!K3:K100,Jan2026!L3:L100,$A65,Jan2026!M3:M100,$B65)+SUMIFS(Feb2026!K3:K100,Feb2026!L3:L100,$A65,Feb2026!M3:M100,$B65)+SUMIFS(Mar2026!K3:K100,Mar2026!L3:L100,$A65,Mar2026!M3:M100,$B65)+SUMIFS(Apr2026!K3:K100,Apr2026!L3:L100,$A65,Apr2026!M3:M100,$B65)+SUMIFS(May2026!K3:K100,May2026!L3:L100,$A65,May2026!M3:M100,$B65)+SUMIFS(Jun2026!K3:K100,Jun2026!L3:L100,$A65,Jun2026!M3:M100,$B65)+SUMIFS(Jul2026!K3:K100,Jul2026!L3:L100,$A65,Jul2026!M3:M100,$B65)+SUMIFS(Aug2026!K3:K100,Aug2026!L3:L100,$A65,Aug2026!M3:M100,$B65)+SUMIFS(Sep2026!K3:K100,Sep2026!L3:L100,$A65,Sep2026!M3:M100,$B65)+SUMIFS(Oct2026!K3:K100,Oct2026!L3:L100,$A65,Oct2026!M3:M100,$B65)+SUMIFS(Nov2026!K3:K100,Nov2026!L3:L100,$A65,Nov2026!M3:M100,$B65)+SUMIFS(Dec2026!K3:K100,Dec2026!L3:L100,$A65,Dec2026!M3:M100,$B65)</f>
        <v/>
      </c>
    </row>
    <row r="66">
      <c r="A66" t="inlineStr">
        <is>
          <t>Land &amp; Legal</t>
        </is>
      </c>
      <c r="B66" t="inlineStr">
        <is>
          <t>Survey Charges</t>
        </is>
      </c>
      <c r="C66" s="11">
        <f>SUMIFS(Jan2026!K3:K100,Jan2026!L3:L100,$A66,Jan2026!M3:M100,$B66)+SUMIFS(Feb2026!K3:K100,Feb2026!L3:L100,$A66,Feb2026!M3:M100,$B66)+SUMIFS(Mar2026!K3:K100,Mar2026!L3:L100,$A66,Mar2026!M3:M100,$B66)+SUMIFS(Apr2026!K3:K100,Apr2026!L3:L100,$A66,Apr2026!M3:M100,$B66)+SUMIFS(May2026!K3:K100,May2026!L3:L100,$A66,May2026!M3:M100,$B66)+SUMIFS(Jun2026!K3:K100,Jun2026!L3:L100,$A66,Jun2026!M3:M100,$B66)+SUMIFS(Jul2026!K3:K100,Jul2026!L3:L100,$A66,Jul2026!M3:M100,$B66)+SUMIFS(Aug2026!K3:K100,Aug2026!L3:L100,$A66,Aug2026!M3:M100,$B66)+SUMIFS(Sep2026!K3:K100,Sep2026!L3:L100,$A66,Sep2026!M3:M100,$B66)+SUMIFS(Oct2026!K3:K100,Oct2026!L3:L100,$A66,Oct2026!M3:M100,$B66)+SUMIFS(Nov2026!K3:K100,Nov2026!L3:L100,$A66,Nov2026!M3:M100,$B66)+SUMIFS(Dec2026!K3:K100,Dec2026!L3:L100,$A66,Dec2026!M3:M100,$B66)</f>
        <v/>
      </c>
    </row>
    <row r="67">
      <c r="A67" t="inlineStr">
        <is>
          <t>Land &amp; Legal</t>
        </is>
      </c>
      <c r="B67" t="inlineStr">
        <is>
          <t>Documentation</t>
        </is>
      </c>
      <c r="C67" s="11">
        <f>SUMIFS(Jan2026!K3:K100,Jan2026!L3:L100,$A67,Jan2026!M3:M100,$B67)+SUMIFS(Feb2026!K3:K100,Feb2026!L3:L100,$A67,Feb2026!M3:M100,$B67)+SUMIFS(Mar2026!K3:K100,Mar2026!L3:L100,$A67,Mar2026!M3:M100,$B67)+SUMIFS(Apr2026!K3:K100,Apr2026!L3:L100,$A67,Apr2026!M3:M100,$B67)+SUMIFS(May2026!K3:K100,May2026!L3:L100,$A67,May2026!M3:M100,$B67)+SUMIFS(Jun2026!K3:K100,Jun2026!L3:L100,$A67,Jun2026!M3:M100,$B67)+SUMIFS(Jul2026!K3:K100,Jul2026!L3:L100,$A67,Jul2026!M3:M100,$B67)+SUMIFS(Aug2026!K3:K100,Aug2026!L3:L100,$A67,Aug2026!M3:M100,$B67)+SUMIFS(Sep2026!K3:K100,Sep2026!L3:L100,$A67,Sep2026!M3:M100,$B67)+SUMIFS(Oct2026!K3:K100,Oct2026!L3:L100,$A67,Oct2026!M3:M100,$B67)+SUMIFS(Nov2026!K3:K100,Nov2026!L3:L100,$A67,Nov2026!M3:M100,$B67)+SUMIFS(Dec2026!K3:K100,Dec2026!L3:L100,$A67,Dec2026!M3:M100,$B67)</f>
        <v/>
      </c>
    </row>
    <row r="68">
      <c r="A68" t="inlineStr">
        <is>
          <t>Site Development</t>
        </is>
      </c>
      <c r="B68" t="inlineStr">
        <is>
          <t>Land Clearing</t>
        </is>
      </c>
      <c r="C68" s="11">
        <f>SUMIFS(Jan2026!K3:K100,Jan2026!L3:L100,$A68,Jan2026!M3:M100,$B68)+SUMIFS(Feb2026!K3:K100,Feb2026!L3:L100,$A68,Feb2026!M3:M100,$B68)+SUMIFS(Mar2026!K3:K100,Mar2026!L3:L100,$A68,Mar2026!M3:M100,$B68)+SUMIFS(Apr2026!K3:K100,Apr2026!L3:L100,$A68,Apr2026!M3:M100,$B68)+SUMIFS(May2026!K3:K100,May2026!L3:L100,$A68,May2026!M3:M100,$B68)+SUMIFS(Jun2026!K3:K100,Jun2026!L3:L100,$A68,Jun2026!M3:M100,$B68)+SUMIFS(Jul2026!K3:K100,Jul2026!L3:L100,$A68,Jul2026!M3:M100,$B68)+SUMIFS(Aug2026!K3:K100,Aug2026!L3:L100,$A68,Aug2026!M3:M100,$B68)+SUMIFS(Sep2026!K3:K100,Sep2026!L3:L100,$A68,Sep2026!M3:M100,$B68)+SUMIFS(Oct2026!K3:K100,Oct2026!L3:L100,$A68,Oct2026!M3:M100,$B68)+SUMIFS(Nov2026!K3:K100,Nov2026!L3:L100,$A68,Nov2026!M3:M100,$B68)+SUMIFS(Dec2026!K3:K100,Dec2026!L3:L100,$A68,Dec2026!M3:M100,$B68)</f>
        <v/>
      </c>
    </row>
    <row r="69">
      <c r="A69" t="inlineStr">
        <is>
          <t>Site Development</t>
        </is>
      </c>
      <c r="B69" t="inlineStr">
        <is>
          <t>Earthwork &amp; Levelling</t>
        </is>
      </c>
      <c r="C69" s="11">
        <f>SUMIFS(Jan2026!K3:K100,Jan2026!L3:L100,$A69,Jan2026!M3:M100,$B69)+SUMIFS(Feb2026!K3:K100,Feb2026!L3:L100,$A69,Feb2026!M3:M100,$B69)+SUMIFS(Mar2026!K3:K100,Mar2026!L3:L100,$A69,Mar2026!M3:M100,$B69)+SUMIFS(Apr2026!K3:K100,Apr2026!L3:L100,$A69,Apr2026!M3:M100,$B69)+SUMIFS(May2026!K3:K100,May2026!L3:L100,$A69,May2026!M3:M100,$B69)+SUMIFS(Jun2026!K3:K100,Jun2026!L3:L100,$A69,Jun2026!M3:M100,$B69)+SUMIFS(Jul2026!K3:K100,Jul2026!L3:L100,$A69,Jul2026!M3:M100,$B69)+SUMIFS(Aug2026!K3:K100,Aug2026!L3:L100,$A69,Aug2026!M3:M100,$B69)+SUMIFS(Sep2026!K3:K100,Sep2026!L3:L100,$A69,Sep2026!M3:M100,$B69)+SUMIFS(Oct2026!K3:K100,Oct2026!L3:L100,$A69,Oct2026!M3:M100,$B69)+SUMIFS(Nov2026!K3:K100,Nov2026!L3:L100,$A69,Nov2026!M3:M100,$B69)+SUMIFS(Dec2026!K3:K100,Dec2026!L3:L100,$A69,Dec2026!M3:M100,$B69)</f>
        <v/>
      </c>
    </row>
    <row r="70">
      <c r="A70" t="inlineStr">
        <is>
          <t>Site Development</t>
        </is>
      </c>
      <c r="B70" t="inlineStr">
        <is>
          <t>Road Formation</t>
        </is>
      </c>
      <c r="C70" s="11">
        <f>SUMIFS(Jan2026!K3:K100,Jan2026!L3:L100,$A70,Jan2026!M3:M100,$B70)+SUMIFS(Feb2026!K3:K100,Feb2026!L3:L100,$A70,Feb2026!M3:M100,$B70)+SUMIFS(Mar2026!K3:K100,Mar2026!L3:L100,$A70,Mar2026!M3:M100,$B70)+SUMIFS(Apr2026!K3:K100,Apr2026!L3:L100,$A70,Apr2026!M3:M100,$B70)+SUMIFS(May2026!K3:K100,May2026!L3:L100,$A70,May2026!M3:M100,$B70)+SUMIFS(Jun2026!K3:K100,Jun2026!L3:L100,$A70,Jun2026!M3:M100,$B70)+SUMIFS(Jul2026!K3:K100,Jul2026!L3:L100,$A70,Jul2026!M3:M100,$B70)+SUMIFS(Aug2026!K3:K100,Aug2026!L3:L100,$A70,Aug2026!M3:M100,$B70)+SUMIFS(Sep2026!K3:K100,Sep2026!L3:L100,$A70,Sep2026!M3:M100,$B70)+SUMIFS(Oct2026!K3:K100,Oct2026!L3:L100,$A70,Oct2026!M3:M100,$B70)+SUMIFS(Nov2026!K3:K100,Nov2026!L3:L100,$A70,Nov2026!M3:M100,$B70)+SUMIFS(Dec2026!K3:K100,Dec2026!L3:L100,$A70,Dec2026!M3:M100,$B70)</f>
        <v/>
      </c>
    </row>
    <row r="71">
      <c r="A71" t="inlineStr">
        <is>
          <t>Site Development</t>
        </is>
      </c>
      <c r="B71" t="inlineStr">
        <is>
          <t>Blacktop Roads</t>
        </is>
      </c>
      <c r="C71" s="11">
        <f>SUMIFS(Jan2026!K3:K100,Jan2026!L3:L100,$A71,Jan2026!M3:M100,$B71)+SUMIFS(Feb2026!K3:K100,Feb2026!L3:L100,$A71,Feb2026!M3:M100,$B71)+SUMIFS(Mar2026!K3:K100,Mar2026!L3:L100,$A71,Mar2026!M3:M100,$B71)+SUMIFS(Apr2026!K3:K100,Apr2026!L3:L100,$A71,Apr2026!M3:M100,$B71)+SUMIFS(May2026!K3:K100,May2026!L3:L100,$A71,May2026!M3:M100,$B71)+SUMIFS(Jun2026!K3:K100,Jun2026!L3:L100,$A71,Jun2026!M3:M100,$B71)+SUMIFS(Jul2026!K3:K100,Jul2026!L3:L100,$A71,Jul2026!M3:M100,$B71)+SUMIFS(Aug2026!K3:K100,Aug2026!L3:L100,$A71,Aug2026!M3:M100,$B71)+SUMIFS(Sep2026!K3:K100,Sep2026!L3:L100,$A71,Sep2026!M3:M100,$B71)+SUMIFS(Oct2026!K3:K100,Oct2026!L3:L100,$A71,Oct2026!M3:M100,$B71)+SUMIFS(Nov2026!K3:K100,Nov2026!L3:L100,$A71,Nov2026!M3:M100,$B71)+SUMIFS(Dec2026!K3:K100,Dec2026!L3:L100,$A71,Dec2026!M3:M100,$B71)</f>
        <v/>
      </c>
    </row>
    <row r="72">
      <c r="A72" t="inlineStr">
        <is>
          <t>Site Development</t>
        </is>
      </c>
      <c r="B72" t="inlineStr">
        <is>
          <t>Interlocking Pavers</t>
        </is>
      </c>
      <c r="C72" s="11">
        <f>SUMIFS(Jan2026!K3:K100,Jan2026!L3:L100,$A72,Jan2026!M3:M100,$B72)+SUMIFS(Feb2026!K3:K100,Feb2026!L3:L100,$A72,Feb2026!M3:M100,$B72)+SUMIFS(Mar2026!K3:K100,Mar2026!L3:L100,$A72,Mar2026!M3:M100,$B72)+SUMIFS(Apr2026!K3:K100,Apr2026!L3:L100,$A72,Apr2026!M3:M100,$B72)+SUMIFS(May2026!K3:K100,May2026!L3:L100,$A72,May2026!M3:M100,$B72)+SUMIFS(Jun2026!K3:K100,Jun2026!L3:L100,$A72,Jun2026!M3:M100,$B72)+SUMIFS(Jul2026!K3:K100,Jul2026!L3:L100,$A72,Jul2026!M3:M100,$B72)+SUMIFS(Aug2026!K3:K100,Aug2026!L3:L100,$A72,Aug2026!M3:M100,$B72)+SUMIFS(Sep2026!K3:K100,Sep2026!L3:L100,$A72,Sep2026!M3:M100,$B72)+SUMIFS(Oct2026!K3:K100,Oct2026!L3:L100,$A72,Oct2026!M3:M100,$B72)+SUMIFS(Nov2026!K3:K100,Nov2026!L3:L100,$A72,Nov2026!M3:M100,$B72)+SUMIFS(Dec2026!K3:K100,Dec2026!L3:L100,$A72,Dec2026!M3:M100,$B72)</f>
        <v/>
      </c>
    </row>
    <row r="73">
      <c r="A73" t="inlineStr">
        <is>
          <t>Site Development</t>
        </is>
      </c>
      <c r="B73" t="inlineStr">
        <is>
          <t>Compound Wall</t>
        </is>
      </c>
      <c r="C73" s="11">
        <f>SUMIFS(Jan2026!K3:K100,Jan2026!L3:L100,$A73,Jan2026!M3:M100,$B73)+SUMIFS(Feb2026!K3:K100,Feb2026!L3:L100,$A73,Feb2026!M3:M100,$B73)+SUMIFS(Mar2026!K3:K100,Mar2026!L3:L100,$A73,Mar2026!M3:M100,$B73)+SUMIFS(Apr2026!K3:K100,Apr2026!L3:L100,$A73,Apr2026!M3:M100,$B73)+SUMIFS(May2026!K3:K100,May2026!L3:L100,$A73,May2026!M3:M100,$B73)+SUMIFS(Jun2026!K3:K100,Jun2026!L3:L100,$A73,Jun2026!M3:M100,$B73)+SUMIFS(Jul2026!K3:K100,Jul2026!L3:L100,$A73,Jul2026!M3:M100,$B73)+SUMIFS(Aug2026!K3:K100,Aug2026!L3:L100,$A73,Aug2026!M3:M100,$B73)+SUMIFS(Sep2026!K3:K100,Sep2026!L3:L100,$A73,Sep2026!M3:M100,$B73)+SUMIFS(Oct2026!K3:K100,Oct2026!L3:L100,$A73,Oct2026!M3:M100,$B73)+SUMIFS(Nov2026!K3:K100,Nov2026!L3:L100,$A73,Nov2026!M3:M100,$B73)+SUMIFS(Dec2026!K3:K100,Dec2026!L3:L100,$A73,Dec2026!M3:M100,$B73)</f>
        <v/>
      </c>
    </row>
    <row r="74">
      <c r="A74" t="inlineStr">
        <is>
          <t>Site Development</t>
        </is>
      </c>
      <c r="B74" t="inlineStr">
        <is>
          <t>Entrance Gate</t>
        </is>
      </c>
      <c r="C74" s="11">
        <f>SUMIFS(Jan2026!K3:K100,Jan2026!L3:L100,$A74,Jan2026!M3:M100,$B74)+SUMIFS(Feb2026!K3:K100,Feb2026!L3:L100,$A74,Feb2026!M3:M100,$B74)+SUMIFS(Mar2026!K3:K100,Mar2026!L3:L100,$A74,Mar2026!M3:M100,$B74)+SUMIFS(Apr2026!K3:K100,Apr2026!L3:L100,$A74,Apr2026!M3:M100,$B74)+SUMIFS(May2026!K3:K100,May2026!L3:L100,$A74,May2026!M3:M100,$B74)+SUMIFS(Jun2026!K3:K100,Jun2026!L3:L100,$A74,Jun2026!M3:M100,$B74)+SUMIFS(Jul2026!K3:K100,Jul2026!L3:L100,$A74,Jul2026!M3:M100,$B74)+SUMIFS(Aug2026!K3:K100,Aug2026!L3:L100,$A74,Aug2026!M3:M100,$B74)+SUMIFS(Sep2026!K3:K100,Sep2026!L3:L100,$A74,Sep2026!M3:M100,$B74)+SUMIFS(Oct2026!K3:K100,Oct2026!L3:L100,$A74,Oct2026!M3:M100,$B74)+SUMIFS(Nov2026!K3:K100,Nov2026!L3:L100,$A74,Nov2026!M3:M100,$B74)+SUMIFS(Dec2026!K3:K100,Dec2026!L3:L100,$A74,Dec2026!M3:M100,$B74)</f>
        <v/>
      </c>
    </row>
    <row r="75">
      <c r="A75" t="inlineStr">
        <is>
          <t>Site Development</t>
        </is>
      </c>
      <c r="B75" t="inlineStr">
        <is>
          <t>Drainage</t>
        </is>
      </c>
      <c r="C75" s="11">
        <f>SUMIFS(Jan2026!K3:K100,Jan2026!L3:L100,$A75,Jan2026!M3:M100,$B75)+SUMIFS(Feb2026!K3:K100,Feb2026!L3:L100,$A75,Feb2026!M3:M100,$B75)+SUMIFS(Mar2026!K3:K100,Mar2026!L3:L100,$A75,Mar2026!M3:M100,$B75)+SUMIFS(Apr2026!K3:K100,Apr2026!L3:L100,$A75,Apr2026!M3:M100,$B75)+SUMIFS(May2026!K3:K100,May2026!L3:L100,$A75,May2026!M3:M100,$B75)+SUMIFS(Jun2026!K3:K100,Jun2026!L3:L100,$A75,Jun2026!M3:M100,$B75)+SUMIFS(Jul2026!K3:K100,Jul2026!L3:L100,$A75,Jul2026!M3:M100,$B75)+SUMIFS(Aug2026!K3:K100,Aug2026!L3:L100,$A75,Aug2026!M3:M100,$B75)+SUMIFS(Sep2026!K3:K100,Sep2026!L3:L100,$A75,Sep2026!M3:M100,$B75)+SUMIFS(Oct2026!K3:K100,Oct2026!L3:L100,$A75,Oct2026!M3:M100,$B75)+SUMIFS(Nov2026!K3:K100,Nov2026!L3:L100,$A75,Nov2026!M3:M100,$B75)+SUMIFS(Dec2026!K3:K100,Dec2026!L3:L100,$A75,Dec2026!M3:M100,$B75)</f>
        <v/>
      </c>
    </row>
    <row r="76">
      <c r="A76" t="inlineStr">
        <is>
          <t>Site Development</t>
        </is>
      </c>
      <c r="B76" t="inlineStr">
        <is>
          <t>Culverts</t>
        </is>
      </c>
      <c r="C76" s="11">
        <f>SUMIFS(Jan2026!K3:K100,Jan2026!L3:L100,$A76,Jan2026!M3:M100,$B76)+SUMIFS(Feb2026!K3:K100,Feb2026!L3:L100,$A76,Feb2026!M3:M100,$B76)+SUMIFS(Mar2026!K3:K100,Mar2026!L3:L100,$A76,Mar2026!M3:M100,$B76)+SUMIFS(Apr2026!K3:K100,Apr2026!L3:L100,$A76,Apr2026!M3:M100,$B76)+SUMIFS(May2026!K3:K100,May2026!L3:L100,$A76,May2026!M3:M100,$B76)+SUMIFS(Jun2026!K3:K100,Jun2026!L3:L100,$A76,Jun2026!M3:M100,$B76)+SUMIFS(Jul2026!K3:K100,Jul2026!L3:L100,$A76,Jul2026!M3:M100,$B76)+SUMIFS(Aug2026!K3:K100,Aug2026!L3:L100,$A76,Aug2026!M3:M100,$B76)+SUMIFS(Sep2026!K3:K100,Sep2026!L3:L100,$A76,Sep2026!M3:M100,$B76)+SUMIFS(Oct2026!K3:K100,Oct2026!L3:L100,$A76,Oct2026!M3:M100,$B76)+SUMIFS(Nov2026!K3:K100,Nov2026!L3:L100,$A76,Nov2026!M3:M100,$B76)+SUMIFS(Dec2026!K3:K100,Dec2026!L3:L100,$A76,Dec2026!M3:M100,$B76)</f>
        <v/>
      </c>
    </row>
    <row r="77">
      <c r="A77" t="inlineStr">
        <is>
          <t>Utilities</t>
        </is>
      </c>
      <c r="B77" t="inlineStr">
        <is>
          <t>Borewell</t>
        </is>
      </c>
      <c r="C77" s="11">
        <f>SUMIFS(Jan2026!K3:K100,Jan2026!L3:L100,$A77,Jan2026!M3:M100,$B77)+SUMIFS(Feb2026!K3:K100,Feb2026!L3:L100,$A77,Feb2026!M3:M100,$B77)+SUMIFS(Mar2026!K3:K100,Mar2026!L3:L100,$A77,Mar2026!M3:M100,$B77)+SUMIFS(Apr2026!K3:K100,Apr2026!L3:L100,$A77,Apr2026!M3:M100,$B77)+SUMIFS(May2026!K3:K100,May2026!L3:L100,$A77,May2026!M3:M100,$B77)+SUMIFS(Jun2026!K3:K100,Jun2026!L3:L100,$A77,Jun2026!M3:M100,$B77)+SUMIFS(Jul2026!K3:K100,Jul2026!L3:L100,$A77,Jul2026!M3:M100,$B77)+SUMIFS(Aug2026!K3:K100,Aug2026!L3:L100,$A77,Aug2026!M3:M100,$B77)+SUMIFS(Sep2026!K3:K100,Sep2026!L3:L100,$A77,Sep2026!M3:M100,$B77)+SUMIFS(Oct2026!K3:K100,Oct2026!L3:L100,$A77,Oct2026!M3:M100,$B77)+SUMIFS(Nov2026!K3:K100,Nov2026!L3:L100,$A77,Nov2026!M3:M100,$B77)+SUMIFS(Dec2026!K3:K100,Dec2026!L3:L100,$A77,Dec2026!M3:M100,$B77)</f>
        <v/>
      </c>
    </row>
    <row r="78">
      <c r="A78" t="inlineStr">
        <is>
          <t>Utilities</t>
        </is>
      </c>
      <c r="B78" t="inlineStr">
        <is>
          <t>Water Pipelines</t>
        </is>
      </c>
      <c r="C78" s="11">
        <f>SUMIFS(Jan2026!K3:K100,Jan2026!L3:L100,$A78,Jan2026!M3:M100,$B78)+SUMIFS(Feb2026!K3:K100,Feb2026!L3:L100,$A78,Feb2026!M3:M100,$B78)+SUMIFS(Mar2026!K3:K100,Mar2026!L3:L100,$A78,Mar2026!M3:M100,$B78)+SUMIFS(Apr2026!K3:K100,Apr2026!L3:L100,$A78,Apr2026!M3:M100,$B78)+SUMIFS(May2026!K3:K100,May2026!L3:L100,$A78,May2026!M3:M100,$B78)+SUMIFS(Jun2026!K3:K100,Jun2026!L3:L100,$A78,Jun2026!M3:M100,$B78)+SUMIFS(Jul2026!K3:K100,Jul2026!L3:L100,$A78,Jul2026!M3:M100,$B78)+SUMIFS(Aug2026!K3:K100,Aug2026!L3:L100,$A78,Aug2026!M3:M100,$B78)+SUMIFS(Sep2026!K3:K100,Sep2026!L3:L100,$A78,Sep2026!M3:M100,$B78)+SUMIFS(Oct2026!K3:K100,Oct2026!L3:L100,$A78,Oct2026!M3:M100,$B78)+SUMIFS(Nov2026!K3:K100,Nov2026!L3:L100,$A78,Nov2026!M3:M100,$B78)+SUMIFS(Dec2026!K3:K100,Dec2026!L3:L100,$A78,Dec2026!M3:M100,$B78)</f>
        <v/>
      </c>
    </row>
    <row r="79">
      <c r="A79" t="inlineStr">
        <is>
          <t>Utilities</t>
        </is>
      </c>
      <c r="B79" t="inlineStr">
        <is>
          <t>Water Tank</t>
        </is>
      </c>
      <c r="C79" s="11">
        <f>SUMIFS(Jan2026!K3:K100,Jan2026!L3:L100,$A79,Jan2026!M3:M100,$B79)+SUMIFS(Feb2026!K3:K100,Feb2026!L3:L100,$A79,Feb2026!M3:M100,$B79)+SUMIFS(Mar2026!K3:K100,Mar2026!L3:L100,$A79,Mar2026!M3:M100,$B79)+SUMIFS(Apr2026!K3:K100,Apr2026!L3:L100,$A79,Apr2026!M3:M100,$B79)+SUMIFS(May2026!K3:K100,May2026!L3:L100,$A79,May2026!M3:M100,$B79)+SUMIFS(Jun2026!K3:K100,Jun2026!L3:L100,$A79,Jun2026!M3:M100,$B79)+SUMIFS(Jul2026!K3:K100,Jul2026!L3:L100,$A79,Jul2026!M3:M100,$B79)+SUMIFS(Aug2026!K3:K100,Aug2026!L3:L100,$A79,Aug2026!M3:M100,$B79)+SUMIFS(Sep2026!K3:K100,Sep2026!L3:L100,$A79,Sep2026!M3:M100,$B79)+SUMIFS(Oct2026!K3:K100,Oct2026!L3:L100,$A79,Oct2026!M3:M100,$B79)+SUMIFS(Nov2026!K3:K100,Nov2026!L3:L100,$A79,Nov2026!M3:M100,$B79)+SUMIFS(Dec2026!K3:K100,Dec2026!L3:L100,$A79,Dec2026!M3:M100,$B79)</f>
        <v/>
      </c>
    </row>
    <row r="80">
      <c r="A80" t="inlineStr">
        <is>
          <t>Utilities</t>
        </is>
      </c>
      <c r="B80" t="inlineStr">
        <is>
          <t>Electricity Connection</t>
        </is>
      </c>
      <c r="C80" s="11">
        <f>SUMIFS(Jan2026!K3:K100,Jan2026!L3:L100,$A80,Jan2026!M3:M100,$B80)+SUMIFS(Feb2026!K3:K100,Feb2026!L3:L100,$A80,Feb2026!M3:M100,$B80)+SUMIFS(Mar2026!K3:K100,Mar2026!L3:L100,$A80,Mar2026!M3:M100,$B80)+SUMIFS(Apr2026!K3:K100,Apr2026!L3:L100,$A80,Apr2026!M3:M100,$B80)+SUMIFS(May2026!K3:K100,May2026!L3:L100,$A80,May2026!M3:M100,$B80)+SUMIFS(Jun2026!K3:K100,Jun2026!L3:L100,$A80,Jun2026!M3:M100,$B80)+SUMIFS(Jul2026!K3:K100,Jul2026!L3:L100,$A80,Jul2026!M3:M100,$B80)+SUMIFS(Aug2026!K3:K100,Aug2026!L3:L100,$A80,Aug2026!M3:M100,$B80)+SUMIFS(Sep2026!K3:K100,Sep2026!L3:L100,$A80,Sep2026!M3:M100,$B80)+SUMIFS(Oct2026!K3:K100,Oct2026!L3:L100,$A80,Oct2026!M3:M100,$B80)+SUMIFS(Nov2026!K3:K100,Nov2026!L3:L100,$A80,Nov2026!M3:M100,$B80)+SUMIFS(Dec2026!K3:K100,Dec2026!L3:L100,$A80,Dec2026!M3:M100,$B80)</f>
        <v/>
      </c>
    </row>
    <row r="81">
      <c r="A81" t="inlineStr">
        <is>
          <t>Utilities</t>
        </is>
      </c>
      <c r="B81" t="inlineStr">
        <is>
          <t>Transformer</t>
        </is>
      </c>
      <c r="C81" s="11">
        <f>SUMIFS(Jan2026!K3:K100,Jan2026!L3:L100,$A81,Jan2026!M3:M100,$B81)+SUMIFS(Feb2026!K3:K100,Feb2026!L3:L100,$A81,Feb2026!M3:M100,$B81)+SUMIFS(Mar2026!K3:K100,Mar2026!L3:L100,$A81,Mar2026!M3:M100,$B81)+SUMIFS(Apr2026!K3:K100,Apr2026!L3:L100,$A81,Apr2026!M3:M100,$B81)+SUMIFS(May2026!K3:K100,May2026!L3:L100,$A81,May2026!M3:M100,$B81)+SUMIFS(Jun2026!K3:K100,Jun2026!L3:L100,$A81,Jun2026!M3:M100,$B81)+SUMIFS(Jul2026!K3:K100,Jul2026!L3:L100,$A81,Jul2026!M3:M100,$B81)+SUMIFS(Aug2026!K3:K100,Aug2026!L3:L100,$A81,Aug2026!M3:M100,$B81)+SUMIFS(Sep2026!K3:K100,Sep2026!L3:L100,$A81,Sep2026!M3:M100,$B81)+SUMIFS(Oct2026!K3:K100,Oct2026!L3:L100,$A81,Oct2026!M3:M100,$B81)+SUMIFS(Nov2026!K3:K100,Nov2026!L3:L100,$A81,Nov2026!M3:M100,$B81)+SUMIFS(Dec2026!K3:K100,Dec2026!L3:L100,$A81,Dec2026!M3:M100,$B81)</f>
        <v/>
      </c>
    </row>
    <row r="82">
      <c r="A82" t="inlineStr">
        <is>
          <t>Utilities</t>
        </is>
      </c>
      <c r="B82" t="inlineStr">
        <is>
          <t>Street Lights</t>
        </is>
      </c>
      <c r="C82" s="11">
        <f>SUMIFS(Jan2026!K3:K100,Jan2026!L3:L100,$A82,Jan2026!M3:M100,$B82)+SUMIFS(Feb2026!K3:K100,Feb2026!L3:L100,$A82,Feb2026!M3:M100,$B82)+SUMIFS(Mar2026!K3:K100,Mar2026!L3:L100,$A82,Mar2026!M3:M100,$B82)+SUMIFS(Apr2026!K3:K100,Apr2026!L3:L100,$A82,Apr2026!M3:M100,$B82)+SUMIFS(May2026!K3:K100,May2026!L3:L100,$A82,May2026!M3:M100,$B82)+SUMIFS(Jun2026!K3:K100,Jun2026!L3:L100,$A82,Jun2026!M3:M100,$B82)+SUMIFS(Jul2026!K3:K100,Jul2026!L3:L100,$A82,Jul2026!M3:M100,$B82)+SUMIFS(Aug2026!K3:K100,Aug2026!L3:L100,$A82,Aug2026!M3:M100,$B82)+SUMIFS(Sep2026!K3:K100,Sep2026!L3:L100,$A82,Sep2026!M3:M100,$B82)+SUMIFS(Oct2026!K3:K100,Oct2026!L3:L100,$A82,Oct2026!M3:M100,$B82)+SUMIFS(Nov2026!K3:K100,Nov2026!L3:L100,$A82,Nov2026!M3:M100,$B82)+SUMIFS(Dec2026!K3:K100,Dec2026!L3:L100,$A82,Dec2026!M3:M100,$B82)</f>
        <v/>
      </c>
    </row>
    <row r="83">
      <c r="A83" t="inlineStr">
        <is>
          <t>Utilities</t>
        </is>
      </c>
      <c r="B83" t="inlineStr">
        <is>
          <t>Generator</t>
        </is>
      </c>
      <c r="C83" s="11">
        <f>SUMIFS(Jan2026!K3:K100,Jan2026!L3:L100,$A83,Jan2026!M3:M100,$B83)+SUMIFS(Feb2026!K3:K100,Feb2026!L3:L100,$A83,Feb2026!M3:M100,$B83)+SUMIFS(Mar2026!K3:K100,Mar2026!L3:L100,$A83,Mar2026!M3:M100,$B83)+SUMIFS(Apr2026!K3:K100,Apr2026!L3:L100,$A83,Apr2026!M3:M100,$B83)+SUMIFS(May2026!K3:K100,May2026!L3:L100,$A83,May2026!M3:M100,$B83)+SUMIFS(Jun2026!K3:K100,Jun2026!L3:L100,$A83,Jun2026!M3:M100,$B83)+SUMIFS(Jul2026!K3:K100,Jul2026!L3:L100,$A83,Jul2026!M3:M100,$B83)+SUMIFS(Aug2026!K3:K100,Aug2026!L3:L100,$A83,Aug2026!M3:M100,$B83)+SUMIFS(Sep2026!K3:K100,Sep2026!L3:L100,$A83,Sep2026!M3:M100,$B83)+SUMIFS(Oct2026!K3:K100,Oct2026!L3:L100,$A83,Oct2026!M3:M100,$B83)+SUMIFS(Nov2026!K3:K100,Nov2026!L3:L100,$A83,Nov2026!M3:M100,$B83)+SUMIFS(Dec2026!K3:K100,Dec2026!L3:L100,$A83,Dec2026!M3:M100,$B83)</f>
        <v/>
      </c>
    </row>
    <row r="84">
      <c r="A84" t="inlineStr">
        <is>
          <t>Landscaping</t>
        </is>
      </c>
      <c r="B84" t="inlineStr">
        <is>
          <t>Plantation</t>
        </is>
      </c>
      <c r="C84" s="11">
        <f>SUMIFS(Jan2026!K3:K100,Jan2026!L3:L100,$A84,Jan2026!M3:M100,$B84)+SUMIFS(Feb2026!K3:K100,Feb2026!L3:L100,$A84,Feb2026!M3:M100,$B84)+SUMIFS(Mar2026!K3:K100,Mar2026!L3:L100,$A84,Mar2026!M3:M100,$B84)+SUMIFS(Apr2026!K3:K100,Apr2026!L3:L100,$A84,Apr2026!M3:M100,$B84)+SUMIFS(May2026!K3:K100,May2026!L3:L100,$A84,May2026!M3:M100,$B84)+SUMIFS(Jun2026!K3:K100,Jun2026!L3:L100,$A84,Jun2026!M3:M100,$B84)+SUMIFS(Jul2026!K3:K100,Jul2026!L3:L100,$A84,Jul2026!M3:M100,$B84)+SUMIFS(Aug2026!K3:K100,Aug2026!L3:L100,$A84,Aug2026!M3:M100,$B84)+SUMIFS(Sep2026!K3:K100,Sep2026!L3:L100,$A84,Sep2026!M3:M100,$B84)+SUMIFS(Oct2026!K3:K100,Oct2026!L3:L100,$A84,Oct2026!M3:M100,$B84)+SUMIFS(Nov2026!K3:K100,Nov2026!L3:L100,$A84,Nov2026!M3:M100,$B84)+SUMIFS(Dec2026!K3:K100,Dec2026!L3:L100,$A84,Dec2026!M3:M100,$B84)</f>
        <v/>
      </c>
    </row>
    <row r="85">
      <c r="A85" t="inlineStr">
        <is>
          <t>Landscaping</t>
        </is>
      </c>
      <c r="B85" t="inlineStr">
        <is>
          <t>Miyawaki Forest</t>
        </is>
      </c>
      <c r="C85" s="11">
        <f>SUMIFS(Jan2026!K3:K100,Jan2026!L3:L100,$A85,Jan2026!M3:M100,$B85)+SUMIFS(Feb2026!K3:K100,Feb2026!L3:L100,$A85,Feb2026!M3:M100,$B85)+SUMIFS(Mar2026!K3:K100,Mar2026!L3:L100,$A85,Mar2026!M3:M100,$B85)+SUMIFS(Apr2026!K3:K100,Apr2026!L3:L100,$A85,Apr2026!M3:M100,$B85)+SUMIFS(May2026!K3:K100,May2026!L3:L100,$A85,May2026!M3:M100,$B85)+SUMIFS(Jun2026!K3:K100,Jun2026!L3:L100,$A85,Jun2026!M3:M100,$B85)+SUMIFS(Jul2026!K3:K100,Jul2026!L3:L100,$A85,Jul2026!M3:M100,$B85)+SUMIFS(Aug2026!K3:K100,Aug2026!L3:L100,$A85,Aug2026!M3:M100,$B85)+SUMIFS(Sep2026!K3:K100,Sep2026!L3:L100,$A85,Sep2026!M3:M100,$B85)+SUMIFS(Oct2026!K3:K100,Oct2026!L3:L100,$A85,Oct2026!M3:M100,$B85)+SUMIFS(Nov2026!K3:K100,Nov2026!L3:L100,$A85,Nov2026!M3:M100,$B85)+SUMIFS(Dec2026!K3:K100,Dec2026!L3:L100,$A85,Dec2026!M3:M100,$B85)</f>
        <v/>
      </c>
    </row>
    <row r="86">
      <c r="A86" t="inlineStr">
        <is>
          <t>Landscaping</t>
        </is>
      </c>
      <c r="B86" t="inlineStr">
        <is>
          <t>Lawn Development</t>
        </is>
      </c>
      <c r="C86" s="11">
        <f>SUMIFS(Jan2026!K3:K100,Jan2026!L3:L100,$A86,Jan2026!M3:M100,$B86)+SUMIFS(Feb2026!K3:K100,Feb2026!L3:L100,$A86,Feb2026!M3:M100,$B86)+SUMIFS(Mar2026!K3:K100,Mar2026!L3:L100,$A86,Mar2026!M3:M100,$B86)+SUMIFS(Apr2026!K3:K100,Apr2026!L3:L100,$A86,Apr2026!M3:M100,$B86)+SUMIFS(May2026!K3:K100,May2026!L3:L100,$A86,May2026!M3:M100,$B86)+SUMIFS(Jun2026!K3:K100,Jun2026!L3:L100,$A86,Jun2026!M3:M100,$B86)+SUMIFS(Jul2026!K3:K100,Jul2026!L3:L100,$A86,Jul2026!M3:M100,$B86)+SUMIFS(Aug2026!K3:K100,Aug2026!L3:L100,$A86,Aug2026!M3:M100,$B86)+SUMIFS(Sep2026!K3:K100,Sep2026!L3:L100,$A86,Sep2026!M3:M100,$B86)+SUMIFS(Oct2026!K3:K100,Oct2026!L3:L100,$A86,Oct2026!M3:M100,$B86)+SUMIFS(Nov2026!K3:K100,Nov2026!L3:L100,$A86,Nov2026!M3:M100,$B86)+SUMIFS(Dec2026!K3:K100,Dec2026!L3:L100,$A86,Dec2026!M3:M100,$B86)</f>
        <v/>
      </c>
    </row>
    <row r="87">
      <c r="A87" t="inlineStr">
        <is>
          <t>Landscaping</t>
        </is>
      </c>
      <c r="B87" t="inlineStr">
        <is>
          <t>Irrigation/Drip System</t>
        </is>
      </c>
      <c r="C87" s="11">
        <f>SUMIFS(Jan2026!K3:K100,Jan2026!L3:L100,$A87,Jan2026!M3:M100,$B87)+SUMIFS(Feb2026!K3:K100,Feb2026!L3:L100,$A87,Feb2026!M3:M100,$B87)+SUMIFS(Mar2026!K3:K100,Mar2026!L3:L100,$A87,Mar2026!M3:M100,$B87)+SUMIFS(Apr2026!K3:K100,Apr2026!L3:L100,$A87,Apr2026!M3:M100,$B87)+SUMIFS(May2026!K3:K100,May2026!L3:L100,$A87,May2026!M3:M100,$B87)+SUMIFS(Jun2026!K3:K100,Jun2026!L3:L100,$A87,Jun2026!M3:M100,$B87)+SUMIFS(Jul2026!K3:K100,Jul2026!L3:L100,$A87,Jul2026!M3:M100,$B87)+SUMIFS(Aug2026!K3:K100,Aug2026!L3:L100,$A87,Aug2026!M3:M100,$B87)+SUMIFS(Sep2026!K3:K100,Sep2026!L3:L100,$A87,Sep2026!M3:M100,$B87)+SUMIFS(Oct2026!K3:K100,Oct2026!L3:L100,$A87,Oct2026!M3:M100,$B87)+SUMIFS(Nov2026!K3:K100,Nov2026!L3:L100,$A87,Nov2026!M3:M100,$B87)+SUMIFS(Dec2026!K3:K100,Dec2026!L3:L100,$A87,Dec2026!M3:M100,$B87)</f>
        <v/>
      </c>
    </row>
    <row r="88">
      <c r="A88" t="inlineStr">
        <is>
          <t>Landscaping</t>
        </is>
      </c>
      <c r="B88" t="inlineStr">
        <is>
          <t>Garden Maintenance</t>
        </is>
      </c>
      <c r="C88" s="11">
        <f>SUMIFS(Jan2026!K3:K100,Jan2026!L3:L100,$A88,Jan2026!M3:M100,$B88)+SUMIFS(Feb2026!K3:K100,Feb2026!L3:L100,$A88,Feb2026!M3:M100,$B88)+SUMIFS(Mar2026!K3:K100,Mar2026!L3:L100,$A88,Mar2026!M3:M100,$B88)+SUMIFS(Apr2026!K3:K100,Apr2026!L3:L100,$A88,Apr2026!M3:M100,$B88)+SUMIFS(May2026!K3:K100,May2026!L3:L100,$A88,May2026!M3:M100,$B88)+SUMIFS(Jun2026!K3:K100,Jun2026!L3:L100,$A88,Jun2026!M3:M100,$B88)+SUMIFS(Jul2026!K3:K100,Jul2026!L3:L100,$A88,Jul2026!M3:M100,$B88)+SUMIFS(Aug2026!K3:K100,Aug2026!L3:L100,$A88,Aug2026!M3:M100,$B88)+SUMIFS(Sep2026!K3:K100,Sep2026!L3:L100,$A88,Sep2026!M3:M100,$B88)+SUMIFS(Oct2026!K3:K100,Oct2026!L3:L100,$A88,Oct2026!M3:M100,$B88)+SUMIFS(Nov2026!K3:K100,Nov2026!L3:L100,$A88,Nov2026!M3:M100,$B88)+SUMIFS(Dec2026!K3:K100,Dec2026!L3:L100,$A88,Dec2026!M3:M100,$B88)</f>
        <v/>
      </c>
    </row>
    <row r="89">
      <c r="A89" t="inlineStr">
        <is>
          <t>Buildings &amp; Amenities</t>
        </is>
      </c>
      <c r="B89" t="inlineStr">
        <is>
          <t>Security Room</t>
        </is>
      </c>
      <c r="C89" s="11">
        <f>SUMIFS(Jan2026!K3:K100,Jan2026!L3:L100,$A89,Jan2026!M3:M100,$B89)+SUMIFS(Feb2026!K3:K100,Feb2026!L3:L100,$A89,Feb2026!M3:M100,$B89)+SUMIFS(Mar2026!K3:K100,Mar2026!L3:L100,$A89,Mar2026!M3:M100,$B89)+SUMIFS(Apr2026!K3:K100,Apr2026!L3:L100,$A89,Apr2026!M3:M100,$B89)+SUMIFS(May2026!K3:K100,May2026!L3:L100,$A89,May2026!M3:M100,$B89)+SUMIFS(Jun2026!K3:K100,Jun2026!L3:L100,$A89,Jun2026!M3:M100,$B89)+SUMIFS(Jul2026!K3:K100,Jul2026!L3:L100,$A89,Jul2026!M3:M100,$B89)+SUMIFS(Aug2026!K3:K100,Aug2026!L3:L100,$A89,Aug2026!M3:M100,$B89)+SUMIFS(Sep2026!K3:K100,Sep2026!L3:L100,$A89,Sep2026!M3:M100,$B89)+SUMIFS(Oct2026!K3:K100,Oct2026!L3:L100,$A89,Oct2026!M3:M100,$B89)+SUMIFS(Nov2026!K3:K100,Nov2026!L3:L100,$A89,Nov2026!M3:M100,$B89)+SUMIFS(Dec2026!K3:K100,Dec2026!L3:L100,$A89,Dec2026!M3:M100,$B89)</f>
        <v/>
      </c>
    </row>
    <row r="90">
      <c r="A90" t="inlineStr">
        <is>
          <t>Buildings &amp; Amenities</t>
        </is>
      </c>
      <c r="B90" t="inlineStr">
        <is>
          <t>Site Office</t>
        </is>
      </c>
      <c r="C90" s="11">
        <f>SUMIFS(Jan2026!K3:K100,Jan2026!L3:L100,$A90,Jan2026!M3:M100,$B90)+SUMIFS(Feb2026!K3:K100,Feb2026!L3:L100,$A90,Feb2026!M3:M100,$B90)+SUMIFS(Mar2026!K3:K100,Mar2026!L3:L100,$A90,Mar2026!M3:M100,$B90)+SUMIFS(Apr2026!K3:K100,Apr2026!L3:L100,$A90,Apr2026!M3:M100,$B90)+SUMIFS(May2026!K3:K100,May2026!L3:L100,$A90,May2026!M3:M100,$B90)+SUMIFS(Jun2026!K3:K100,Jun2026!L3:L100,$A90,Jun2026!M3:M100,$B90)+SUMIFS(Jul2026!K3:K100,Jul2026!L3:L100,$A90,Jul2026!M3:M100,$B90)+SUMIFS(Aug2026!K3:K100,Aug2026!L3:L100,$A90,Aug2026!M3:M100,$B90)+SUMIFS(Sep2026!K3:K100,Sep2026!L3:L100,$A90,Sep2026!M3:M100,$B90)+SUMIFS(Oct2026!K3:K100,Oct2026!L3:L100,$A90,Oct2026!M3:M100,$B90)+SUMIFS(Nov2026!K3:K100,Nov2026!L3:L100,$A90,Nov2026!M3:M100,$B90)+SUMIFS(Dec2026!K3:K100,Dec2026!L3:L100,$A90,Dec2026!M3:M100,$B90)</f>
        <v/>
      </c>
    </row>
    <row r="91">
      <c r="A91" t="inlineStr">
        <is>
          <t>Buildings &amp; Amenities</t>
        </is>
      </c>
      <c r="B91" t="inlineStr">
        <is>
          <t>Clubhouse</t>
        </is>
      </c>
      <c r="C91" s="11">
        <f>SUMIFS(Jan2026!K3:K100,Jan2026!L3:L100,$A91,Jan2026!M3:M100,$B91)+SUMIFS(Feb2026!K3:K100,Feb2026!L3:L100,$A91,Feb2026!M3:M100,$B91)+SUMIFS(Mar2026!K3:K100,Mar2026!L3:L100,$A91,Mar2026!M3:M100,$B91)+SUMIFS(Apr2026!K3:K100,Apr2026!L3:L100,$A91,Apr2026!M3:M100,$B91)+SUMIFS(May2026!K3:K100,May2026!L3:L100,$A91,May2026!M3:M100,$B91)+SUMIFS(Jun2026!K3:K100,Jun2026!L3:L100,$A91,Jun2026!M3:M100,$B91)+SUMIFS(Jul2026!K3:K100,Jul2026!L3:L100,$A91,Jul2026!M3:M100,$B91)+SUMIFS(Aug2026!K3:K100,Aug2026!L3:L100,$A91,Aug2026!M3:M100,$B91)+SUMIFS(Sep2026!K3:K100,Sep2026!L3:L100,$A91,Sep2026!M3:M100,$B91)+SUMIFS(Oct2026!K3:K100,Oct2026!L3:L100,$A91,Oct2026!M3:M100,$B91)+SUMIFS(Nov2026!K3:K100,Nov2026!L3:L100,$A91,Nov2026!M3:M100,$B91)+SUMIFS(Dec2026!K3:K100,Dec2026!L3:L100,$A91,Dec2026!M3:M100,$B91)</f>
        <v/>
      </c>
    </row>
    <row r="92">
      <c r="A92" t="inlineStr">
        <is>
          <t>Buildings &amp; Amenities</t>
        </is>
      </c>
      <c r="B92" t="inlineStr">
        <is>
          <t>Swimming Pool</t>
        </is>
      </c>
      <c r="C92" s="11">
        <f>SUMIFS(Jan2026!K3:K100,Jan2026!L3:L100,$A92,Jan2026!M3:M100,$B92)+SUMIFS(Feb2026!K3:K100,Feb2026!L3:L100,$A92,Feb2026!M3:M100,$B92)+SUMIFS(Mar2026!K3:K100,Mar2026!L3:L100,$A92,Mar2026!M3:M100,$B92)+SUMIFS(Apr2026!K3:K100,Apr2026!L3:L100,$A92,Apr2026!M3:M100,$B92)+SUMIFS(May2026!K3:K100,May2026!L3:L100,$A92,May2026!M3:M100,$B92)+SUMIFS(Jun2026!K3:K100,Jun2026!L3:L100,$A92,Jun2026!M3:M100,$B92)+SUMIFS(Jul2026!K3:K100,Jul2026!L3:L100,$A92,Jul2026!M3:M100,$B92)+SUMIFS(Aug2026!K3:K100,Aug2026!L3:L100,$A92,Aug2026!M3:M100,$B92)+SUMIFS(Sep2026!K3:K100,Sep2026!L3:L100,$A92,Sep2026!M3:M100,$B92)+SUMIFS(Oct2026!K3:K100,Oct2026!L3:L100,$A92,Oct2026!M3:M100,$B92)+SUMIFS(Nov2026!K3:K100,Nov2026!L3:L100,$A92,Nov2026!M3:M100,$B92)+SUMIFS(Dec2026!K3:K100,Dec2026!L3:L100,$A92,Dec2026!M3:M100,$B92)</f>
        <v/>
      </c>
    </row>
    <row r="93">
      <c r="A93" t="inlineStr">
        <is>
          <t>Buildings &amp; Amenities</t>
        </is>
      </c>
      <c r="B93" t="inlineStr">
        <is>
          <t>Gazebo</t>
        </is>
      </c>
      <c r="C93" s="11">
        <f>SUMIFS(Jan2026!K3:K100,Jan2026!L3:L100,$A93,Jan2026!M3:M100,$B93)+SUMIFS(Feb2026!K3:K100,Feb2026!L3:L100,$A93,Feb2026!M3:M100,$B93)+SUMIFS(Mar2026!K3:K100,Mar2026!L3:L100,$A93,Mar2026!M3:M100,$B93)+SUMIFS(Apr2026!K3:K100,Apr2026!L3:L100,$A93,Apr2026!M3:M100,$B93)+SUMIFS(May2026!K3:K100,May2026!L3:L100,$A93,May2026!M3:M100,$B93)+SUMIFS(Jun2026!K3:K100,Jun2026!L3:L100,$A93,Jun2026!M3:M100,$B93)+SUMIFS(Jul2026!K3:K100,Jul2026!L3:L100,$A93,Jul2026!M3:M100,$B93)+SUMIFS(Aug2026!K3:K100,Aug2026!L3:L100,$A93,Aug2026!M3:M100,$B93)+SUMIFS(Sep2026!K3:K100,Sep2026!L3:L100,$A93,Sep2026!M3:M100,$B93)+SUMIFS(Oct2026!K3:K100,Oct2026!L3:L100,$A93,Oct2026!M3:M100,$B93)+SUMIFS(Nov2026!K3:K100,Nov2026!L3:L100,$A93,Nov2026!M3:M100,$B93)+SUMIFS(Dec2026!K3:K100,Dec2026!L3:L100,$A93,Dec2026!M3:M100,$B93)</f>
        <v/>
      </c>
    </row>
    <row r="94">
      <c r="A94" t="inlineStr">
        <is>
          <t>Buildings &amp; Amenities</t>
        </is>
      </c>
      <c r="B94" t="inlineStr">
        <is>
          <t>Children's Play Area</t>
        </is>
      </c>
      <c r="C94" s="11">
        <f>SUMIFS(Jan2026!K3:K100,Jan2026!L3:L100,$A94,Jan2026!M3:M100,$B94)+SUMIFS(Feb2026!K3:K100,Feb2026!L3:L100,$A94,Feb2026!M3:M100,$B94)+SUMIFS(Mar2026!K3:K100,Mar2026!L3:L100,$A94,Mar2026!M3:M100,$B94)+SUMIFS(Apr2026!K3:K100,Apr2026!L3:L100,$A94,Apr2026!M3:M100,$B94)+SUMIFS(May2026!K3:K100,May2026!L3:L100,$A94,May2026!M3:M100,$B94)+SUMIFS(Jun2026!K3:K100,Jun2026!L3:L100,$A94,Jun2026!M3:M100,$B94)+SUMIFS(Jul2026!K3:K100,Jul2026!L3:L100,$A94,Jul2026!M3:M100,$B94)+SUMIFS(Aug2026!K3:K100,Aug2026!L3:L100,$A94,Aug2026!M3:M100,$B94)+SUMIFS(Sep2026!K3:K100,Sep2026!L3:L100,$A94,Sep2026!M3:M100,$B94)+SUMIFS(Oct2026!K3:K100,Oct2026!L3:L100,$A94,Oct2026!M3:M100,$B94)+SUMIFS(Nov2026!K3:K100,Nov2026!L3:L100,$A94,Nov2026!M3:M100,$B94)+SUMIFS(Dec2026!K3:K100,Dec2026!L3:L100,$A94,Dec2026!M3:M100,$B94)</f>
        <v/>
      </c>
    </row>
    <row r="95">
      <c r="A95" t="inlineStr">
        <is>
          <t>Buildings &amp; Amenities</t>
        </is>
      </c>
      <c r="B95" t="inlineStr">
        <is>
          <t>Sports Courts</t>
        </is>
      </c>
      <c r="C95" s="11">
        <f>SUMIFS(Jan2026!K3:K100,Jan2026!L3:L100,$A95,Jan2026!M3:M100,$B95)+SUMIFS(Feb2026!K3:K100,Feb2026!L3:L100,$A95,Feb2026!M3:M100,$B95)+SUMIFS(Mar2026!K3:K100,Mar2026!L3:L100,$A95,Mar2026!M3:M100,$B95)+SUMIFS(Apr2026!K3:K100,Apr2026!L3:L100,$A95,Apr2026!M3:M100,$B95)+SUMIFS(May2026!K3:K100,May2026!L3:L100,$A95,May2026!M3:M100,$B95)+SUMIFS(Jun2026!K3:K100,Jun2026!L3:L100,$A95,Jun2026!M3:M100,$B95)+SUMIFS(Jul2026!K3:K100,Jul2026!L3:L100,$A95,Jul2026!M3:M100,$B95)+SUMIFS(Aug2026!K3:K100,Aug2026!L3:L100,$A95,Aug2026!M3:M100,$B95)+SUMIFS(Sep2026!K3:K100,Sep2026!L3:L100,$A95,Sep2026!M3:M100,$B95)+SUMIFS(Oct2026!K3:K100,Oct2026!L3:L100,$A95,Oct2026!M3:M100,$B95)+SUMIFS(Nov2026!K3:K100,Nov2026!L3:L100,$A95,Nov2026!M3:M100,$B95)+SUMIFS(Dec2026!K3:K100,Dec2026!L3:L100,$A95,Dec2026!M3:M100,$B95)</f>
        <v/>
      </c>
    </row>
    <row r="96">
      <c r="A96" t="inlineStr">
        <is>
          <t>Buildings &amp; Amenities</t>
        </is>
      </c>
      <c r="B96" t="inlineStr">
        <is>
          <t>Toilets</t>
        </is>
      </c>
      <c r="C96" s="11">
        <f>SUMIFS(Jan2026!K3:K100,Jan2026!L3:L100,$A96,Jan2026!M3:M100,$B96)+SUMIFS(Feb2026!K3:K100,Feb2026!L3:L100,$A96,Feb2026!M3:M100,$B96)+SUMIFS(Mar2026!K3:K100,Mar2026!L3:L100,$A96,Mar2026!M3:M100,$B96)+SUMIFS(Apr2026!K3:K100,Apr2026!L3:L100,$A96,Apr2026!M3:M100,$B96)+SUMIFS(May2026!K3:K100,May2026!L3:L100,$A96,May2026!M3:M100,$B96)+SUMIFS(Jun2026!K3:K100,Jun2026!L3:L100,$A96,Jun2026!M3:M100,$B96)+SUMIFS(Jul2026!K3:K100,Jul2026!L3:L100,$A96,Jul2026!M3:M100,$B96)+SUMIFS(Aug2026!K3:K100,Aug2026!L3:L100,$A96,Aug2026!M3:M100,$B96)+SUMIFS(Sep2026!K3:K100,Sep2026!L3:L100,$A96,Sep2026!M3:M100,$B96)+SUMIFS(Oct2026!K3:K100,Oct2026!L3:L100,$A96,Oct2026!M3:M100,$B96)+SUMIFS(Nov2026!K3:K100,Nov2026!L3:L100,$A96,Nov2026!M3:M100,$B96)+SUMIFS(Dec2026!K3:K100,Dec2026!L3:L100,$A96,Dec2026!M3:M100,$B96)</f>
        <v/>
      </c>
    </row>
    <row r="97">
      <c r="A97" t="inlineStr">
        <is>
          <t>Labour &amp; Contractors</t>
        </is>
      </c>
      <c r="B97" t="inlineStr">
        <is>
          <t>Labour Wages</t>
        </is>
      </c>
      <c r="C97" s="11">
        <f>SUMIFS(Jan2026!K3:K100,Jan2026!L3:L100,$A97,Jan2026!M3:M100,$B97)+SUMIFS(Feb2026!K3:K100,Feb2026!L3:L100,$A97,Feb2026!M3:M100,$B97)+SUMIFS(Mar2026!K3:K100,Mar2026!L3:L100,$A97,Mar2026!M3:M100,$B97)+SUMIFS(Apr2026!K3:K100,Apr2026!L3:L100,$A97,Apr2026!M3:M100,$B97)+SUMIFS(May2026!K3:K100,May2026!L3:L100,$A97,May2026!M3:M100,$B97)+SUMIFS(Jun2026!K3:K100,Jun2026!L3:L100,$A97,Jun2026!M3:M100,$B97)+SUMIFS(Jul2026!K3:K100,Jul2026!L3:L100,$A97,Jul2026!M3:M100,$B97)+SUMIFS(Aug2026!K3:K100,Aug2026!L3:L100,$A97,Aug2026!M3:M100,$B97)+SUMIFS(Sep2026!K3:K100,Sep2026!L3:L100,$A97,Sep2026!M3:M100,$B97)+SUMIFS(Oct2026!K3:K100,Oct2026!L3:L100,$A97,Oct2026!M3:M100,$B97)+SUMIFS(Nov2026!K3:K100,Nov2026!L3:L100,$A97,Nov2026!M3:M100,$B97)+SUMIFS(Dec2026!K3:K100,Dec2026!L3:L100,$A97,Dec2026!M3:M100,$B97)</f>
        <v/>
      </c>
    </row>
    <row r="98">
      <c r="A98" t="inlineStr">
        <is>
          <t>Labour &amp; Contractors</t>
        </is>
      </c>
      <c r="B98" t="inlineStr">
        <is>
          <t>Contractor Payments</t>
        </is>
      </c>
      <c r="C98" s="11">
        <f>SUMIFS(Jan2026!K3:K100,Jan2026!L3:L100,$A98,Jan2026!M3:M100,$B98)+SUMIFS(Feb2026!K3:K100,Feb2026!L3:L100,$A98,Feb2026!M3:M100,$B98)+SUMIFS(Mar2026!K3:K100,Mar2026!L3:L100,$A98,Mar2026!M3:M100,$B98)+SUMIFS(Apr2026!K3:K100,Apr2026!L3:L100,$A98,Apr2026!M3:M100,$B98)+SUMIFS(May2026!K3:K100,May2026!L3:L100,$A98,May2026!M3:M100,$B98)+SUMIFS(Jun2026!K3:K100,Jun2026!L3:L100,$A98,Jun2026!M3:M100,$B98)+SUMIFS(Jul2026!K3:K100,Jul2026!L3:L100,$A98,Jul2026!M3:M100,$B98)+SUMIFS(Aug2026!K3:K100,Aug2026!L3:L100,$A98,Aug2026!M3:M100,$B98)+SUMIFS(Sep2026!K3:K100,Sep2026!L3:L100,$A98,Sep2026!M3:M100,$B98)+SUMIFS(Oct2026!K3:K100,Oct2026!L3:L100,$A98,Oct2026!M3:M100,$B98)+SUMIFS(Nov2026!K3:K100,Nov2026!L3:L100,$A98,Nov2026!M3:M100,$B98)+SUMIFS(Dec2026!K3:K100,Dec2026!L3:L100,$A98,Dec2026!M3:M100,$B98)</f>
        <v/>
      </c>
    </row>
    <row r="99">
      <c r="A99" t="inlineStr">
        <is>
          <t>Labour &amp; Contractors</t>
        </is>
      </c>
      <c r="B99" t="inlineStr">
        <is>
          <t>Machinery Hire</t>
        </is>
      </c>
      <c r="C99" s="11">
        <f>SUMIFS(Jan2026!K3:K100,Jan2026!L3:L100,$A99,Jan2026!M3:M100,$B99)+SUMIFS(Feb2026!K3:K100,Feb2026!L3:L100,$A99,Feb2026!M3:M100,$B99)+SUMIFS(Mar2026!K3:K100,Mar2026!L3:L100,$A99,Mar2026!M3:M100,$B99)+SUMIFS(Apr2026!K3:K100,Apr2026!L3:L100,$A99,Apr2026!M3:M100,$B99)+SUMIFS(May2026!K3:K100,May2026!L3:L100,$A99,May2026!M3:M100,$B99)+SUMIFS(Jun2026!K3:K100,Jun2026!L3:L100,$A99,Jun2026!M3:M100,$B99)+SUMIFS(Jul2026!K3:K100,Jul2026!L3:L100,$A99,Jul2026!M3:M100,$B99)+SUMIFS(Aug2026!K3:K100,Aug2026!L3:L100,$A99,Aug2026!M3:M100,$B99)+SUMIFS(Sep2026!K3:K100,Sep2026!L3:L100,$A99,Sep2026!M3:M100,$B99)+SUMIFS(Oct2026!K3:K100,Oct2026!L3:L100,$A99,Oct2026!M3:M100,$B99)+SUMIFS(Nov2026!K3:K100,Nov2026!L3:L100,$A99,Nov2026!M3:M100,$B99)+SUMIFS(Dec2026!K3:K100,Dec2026!L3:L100,$A99,Dec2026!M3:M100,$B99)</f>
        <v/>
      </c>
    </row>
    <row r="100">
      <c r="A100" t="inlineStr">
        <is>
          <t>Labour &amp; Contractors</t>
        </is>
      </c>
      <c r="B100" t="inlineStr">
        <is>
          <t>Excavator/JCB</t>
        </is>
      </c>
      <c r="C100" s="11">
        <f>SUMIFS(Jan2026!K3:K100,Jan2026!L3:L100,$A100,Jan2026!M3:M100,$B100)+SUMIFS(Feb2026!K3:K100,Feb2026!L3:L100,$A100,Feb2026!M3:M100,$B100)+SUMIFS(Mar2026!K3:K100,Mar2026!L3:L100,$A100,Mar2026!M3:M100,$B100)+SUMIFS(Apr2026!K3:K100,Apr2026!L3:L100,$A100,Apr2026!M3:M100,$B100)+SUMIFS(May2026!K3:K100,May2026!L3:L100,$A100,May2026!M3:M100,$B100)+SUMIFS(Jun2026!K3:K100,Jun2026!L3:L100,$A100,Jun2026!M3:M100,$B100)+SUMIFS(Jul2026!K3:K100,Jul2026!L3:L100,$A100,Jul2026!M3:M100,$B100)+SUMIFS(Aug2026!K3:K100,Aug2026!L3:L100,$A100,Aug2026!M3:M100,$B100)+SUMIFS(Sep2026!K3:K100,Sep2026!L3:L100,$A100,Sep2026!M3:M100,$B100)+SUMIFS(Oct2026!K3:K100,Oct2026!L3:L100,$A100,Oct2026!M3:M100,$B100)+SUMIFS(Nov2026!K3:K100,Nov2026!L3:L100,$A100,Nov2026!M3:M100,$B100)+SUMIFS(Dec2026!K3:K100,Dec2026!L3:L100,$A100,Dec2026!M3:M100,$B100)</f>
        <v/>
      </c>
    </row>
    <row r="101">
      <c r="A101" t="inlineStr">
        <is>
          <t>Labour &amp; Contractors</t>
        </is>
      </c>
      <c r="B101" t="inlineStr">
        <is>
          <t>Tractor &amp; Transport</t>
        </is>
      </c>
      <c r="C101" s="11">
        <f>SUMIFS(Jan2026!K3:K100,Jan2026!L3:L100,$A101,Jan2026!M3:M100,$B101)+SUMIFS(Feb2026!K3:K100,Feb2026!L3:L100,$A101,Feb2026!M3:M100,$B101)+SUMIFS(Mar2026!K3:K100,Mar2026!L3:L100,$A101,Mar2026!M3:M100,$B101)+SUMIFS(Apr2026!K3:K100,Apr2026!L3:L100,$A101,Apr2026!M3:M100,$B101)+SUMIFS(May2026!K3:K100,May2026!L3:L100,$A101,May2026!M3:M100,$B101)+SUMIFS(Jun2026!K3:K100,Jun2026!L3:L100,$A101,Jun2026!M3:M100,$B101)+SUMIFS(Jul2026!K3:K100,Jul2026!L3:L100,$A101,Jul2026!M3:M100,$B101)+SUMIFS(Aug2026!K3:K100,Aug2026!L3:L100,$A101,Aug2026!M3:M100,$B101)+SUMIFS(Sep2026!K3:K100,Sep2026!L3:L100,$A101,Sep2026!M3:M100,$B101)+SUMIFS(Oct2026!K3:K100,Oct2026!L3:L100,$A101,Oct2026!M3:M100,$B101)+SUMIFS(Nov2026!K3:K100,Nov2026!L3:L100,$A101,Nov2026!M3:M100,$B101)+SUMIFS(Dec2026!K3:K100,Dec2026!L3:L100,$A101,Dec2026!M3:M100,$B101)</f>
        <v/>
      </c>
    </row>
    <row r="102">
      <c r="A102" t="inlineStr">
        <is>
          <t>Materials</t>
        </is>
      </c>
      <c r="B102" t="inlineStr">
        <is>
          <t>Cement</t>
        </is>
      </c>
      <c r="C102" s="11">
        <f>SUMIFS(Jan2026!K3:K100,Jan2026!L3:L100,$A102,Jan2026!M3:M100,$B102)+SUMIFS(Feb2026!K3:K100,Feb2026!L3:L100,$A102,Feb2026!M3:M100,$B102)+SUMIFS(Mar2026!K3:K100,Mar2026!L3:L100,$A102,Mar2026!M3:M100,$B102)+SUMIFS(Apr2026!K3:K100,Apr2026!L3:L100,$A102,Apr2026!M3:M100,$B102)+SUMIFS(May2026!K3:K100,May2026!L3:L100,$A102,May2026!M3:M100,$B102)+SUMIFS(Jun2026!K3:K100,Jun2026!L3:L100,$A102,Jun2026!M3:M100,$B102)+SUMIFS(Jul2026!K3:K100,Jul2026!L3:L100,$A102,Jul2026!M3:M100,$B102)+SUMIFS(Aug2026!K3:K100,Aug2026!L3:L100,$A102,Aug2026!M3:M100,$B102)+SUMIFS(Sep2026!K3:K100,Sep2026!L3:L100,$A102,Sep2026!M3:M100,$B102)+SUMIFS(Oct2026!K3:K100,Oct2026!L3:L100,$A102,Oct2026!M3:M100,$B102)+SUMIFS(Nov2026!K3:K100,Nov2026!L3:L100,$A102,Nov2026!M3:M100,$B102)+SUMIFS(Dec2026!K3:K100,Dec2026!L3:L100,$A102,Dec2026!M3:M100,$B102)</f>
        <v/>
      </c>
    </row>
    <row r="103">
      <c r="A103" t="inlineStr">
        <is>
          <t>Materials</t>
        </is>
      </c>
      <c r="B103" t="inlineStr">
        <is>
          <t>Sand</t>
        </is>
      </c>
      <c r="C103" s="11">
        <f>SUMIFS(Jan2026!K3:K100,Jan2026!L3:L100,$A103,Jan2026!M3:M100,$B103)+SUMIFS(Feb2026!K3:K100,Feb2026!L3:L100,$A103,Feb2026!M3:M100,$B103)+SUMIFS(Mar2026!K3:K100,Mar2026!L3:L100,$A103,Mar2026!M3:M100,$B103)+SUMIFS(Apr2026!K3:K100,Apr2026!L3:L100,$A103,Apr2026!M3:M100,$B103)+SUMIFS(May2026!K3:K100,May2026!L3:L100,$A103,May2026!M3:M100,$B103)+SUMIFS(Jun2026!K3:K100,Jun2026!L3:L100,$A103,Jun2026!M3:M100,$B103)+SUMIFS(Jul2026!K3:K100,Jul2026!L3:L100,$A103,Jul2026!M3:M100,$B103)+SUMIFS(Aug2026!K3:K100,Aug2026!L3:L100,$A103,Aug2026!M3:M100,$B103)+SUMIFS(Sep2026!K3:K100,Sep2026!L3:L100,$A103,Sep2026!M3:M100,$B103)+SUMIFS(Oct2026!K3:K100,Oct2026!L3:L100,$A103,Oct2026!M3:M100,$B103)+SUMIFS(Nov2026!K3:K100,Nov2026!L3:L100,$A103,Nov2026!M3:M100,$B103)+SUMIFS(Dec2026!K3:K100,Dec2026!L3:L100,$A103,Dec2026!M3:M100,$B103)</f>
        <v/>
      </c>
    </row>
    <row r="104">
      <c r="A104" t="inlineStr">
        <is>
          <t>Materials</t>
        </is>
      </c>
      <c r="B104" t="inlineStr">
        <is>
          <t>Metal</t>
        </is>
      </c>
      <c r="C104" s="11">
        <f>SUMIFS(Jan2026!K3:K100,Jan2026!L3:L100,$A104,Jan2026!M3:M100,$B104)+SUMIFS(Feb2026!K3:K100,Feb2026!L3:L100,$A104,Feb2026!M3:M100,$B104)+SUMIFS(Mar2026!K3:K100,Mar2026!L3:L100,$A104,Mar2026!M3:M100,$B104)+SUMIFS(Apr2026!K3:K100,Apr2026!L3:L100,$A104,Apr2026!M3:M100,$B104)+SUMIFS(May2026!K3:K100,May2026!L3:L100,$A104,May2026!M3:M100,$B104)+SUMIFS(Jun2026!K3:K100,Jun2026!L3:L100,$A104,Jun2026!M3:M100,$B104)+SUMIFS(Jul2026!K3:K100,Jul2026!L3:L100,$A104,Jul2026!M3:M100,$B104)+SUMIFS(Aug2026!K3:K100,Aug2026!L3:L100,$A104,Aug2026!M3:M100,$B104)+SUMIFS(Sep2026!K3:K100,Sep2026!L3:L100,$A104,Sep2026!M3:M100,$B104)+SUMIFS(Oct2026!K3:K100,Oct2026!L3:L100,$A104,Oct2026!M3:M100,$B104)+SUMIFS(Nov2026!K3:K100,Nov2026!L3:L100,$A104,Nov2026!M3:M100,$B104)+SUMIFS(Dec2026!K3:K100,Dec2026!L3:L100,$A104,Dec2026!M3:M100,$B104)</f>
        <v/>
      </c>
    </row>
    <row r="105">
      <c r="A105" t="inlineStr">
        <is>
          <t>Materials</t>
        </is>
      </c>
      <c r="B105" t="inlineStr">
        <is>
          <t>Bricks</t>
        </is>
      </c>
      <c r="C105" s="11">
        <f>SUMIFS(Jan2026!K3:K100,Jan2026!L3:L100,$A105,Jan2026!M3:M100,$B105)+SUMIFS(Feb2026!K3:K100,Feb2026!L3:L100,$A105,Feb2026!M3:M100,$B105)+SUMIFS(Mar2026!K3:K100,Mar2026!L3:L100,$A105,Mar2026!M3:M100,$B105)+SUMIFS(Apr2026!K3:K100,Apr2026!L3:L100,$A105,Apr2026!M3:M100,$B105)+SUMIFS(May2026!K3:K100,May2026!L3:L100,$A105,May2026!M3:M100,$B105)+SUMIFS(Jun2026!K3:K100,Jun2026!L3:L100,$A105,Jun2026!M3:M100,$B105)+SUMIFS(Jul2026!K3:K100,Jul2026!L3:L100,$A105,Jul2026!M3:M100,$B105)+SUMIFS(Aug2026!K3:K100,Aug2026!L3:L100,$A105,Aug2026!M3:M100,$B105)+SUMIFS(Sep2026!K3:K100,Sep2026!L3:L100,$A105,Sep2026!M3:M100,$B105)+SUMIFS(Oct2026!K3:K100,Oct2026!L3:L100,$A105,Oct2026!M3:M100,$B105)+SUMIFS(Nov2026!K3:K100,Nov2026!L3:L100,$A105,Nov2026!M3:M100,$B105)+SUMIFS(Dec2026!K3:K100,Dec2026!L3:L100,$A105,Dec2026!M3:M100,$B105)</f>
        <v/>
      </c>
    </row>
    <row r="106">
      <c r="A106" t="inlineStr">
        <is>
          <t>Materials</t>
        </is>
      </c>
      <c r="B106" t="inlineStr">
        <is>
          <t>Steel</t>
        </is>
      </c>
      <c r="C106" s="11">
        <f>SUMIFS(Jan2026!K3:K100,Jan2026!L3:L100,$A106,Jan2026!M3:M100,$B106)+SUMIFS(Feb2026!K3:K100,Feb2026!L3:L100,$A106,Feb2026!M3:M100,$B106)+SUMIFS(Mar2026!K3:K100,Mar2026!L3:L100,$A106,Mar2026!M3:M100,$B106)+SUMIFS(Apr2026!K3:K100,Apr2026!L3:L100,$A106,Apr2026!M3:M100,$B106)+SUMIFS(May2026!K3:K100,May2026!L3:L100,$A106,May2026!M3:M100,$B106)+SUMIFS(Jun2026!K3:K100,Jun2026!L3:L100,$A106,Jun2026!M3:M100,$B106)+SUMIFS(Jul2026!K3:K100,Jul2026!L3:L100,$A106,Jul2026!M3:M100,$B106)+SUMIFS(Aug2026!K3:K100,Aug2026!L3:L100,$A106,Aug2026!M3:M100,$B106)+SUMIFS(Sep2026!K3:K100,Sep2026!L3:L100,$A106,Sep2026!M3:M100,$B106)+SUMIFS(Oct2026!K3:K100,Oct2026!L3:L100,$A106,Oct2026!M3:M100,$B106)+SUMIFS(Nov2026!K3:K100,Nov2026!L3:L100,$A106,Nov2026!M3:M100,$B106)+SUMIFS(Dec2026!K3:K100,Dec2026!L3:L100,$A106,Dec2026!M3:M100,$B106)</f>
        <v/>
      </c>
    </row>
    <row r="107">
      <c r="A107" t="inlineStr">
        <is>
          <t>Materials</t>
        </is>
      </c>
      <c r="B107" t="inlineStr">
        <is>
          <t>Pipes</t>
        </is>
      </c>
      <c r="C107" s="11">
        <f>SUMIFS(Jan2026!K3:K100,Jan2026!L3:L100,$A107,Jan2026!M3:M100,$B107)+SUMIFS(Feb2026!K3:K100,Feb2026!L3:L100,$A107,Feb2026!M3:M100,$B107)+SUMIFS(Mar2026!K3:K100,Mar2026!L3:L100,$A107,Mar2026!M3:M100,$B107)+SUMIFS(Apr2026!K3:K100,Apr2026!L3:L100,$A107,Apr2026!M3:M100,$B107)+SUMIFS(May2026!K3:K100,May2026!L3:L100,$A107,May2026!M3:M100,$B107)+SUMIFS(Jun2026!K3:K100,Jun2026!L3:L100,$A107,Jun2026!M3:M100,$B107)+SUMIFS(Jul2026!K3:K100,Jul2026!L3:L100,$A107,Jul2026!M3:M100,$B107)+SUMIFS(Aug2026!K3:K100,Aug2026!L3:L100,$A107,Aug2026!M3:M100,$B107)+SUMIFS(Sep2026!K3:K100,Sep2026!L3:L100,$A107,Sep2026!M3:M100,$B107)+SUMIFS(Oct2026!K3:K100,Oct2026!L3:L100,$A107,Oct2026!M3:M100,$B107)+SUMIFS(Nov2026!K3:K100,Nov2026!L3:L100,$A107,Nov2026!M3:M100,$B107)+SUMIFS(Dec2026!K3:K100,Dec2026!L3:L100,$A107,Dec2026!M3:M100,$B107)</f>
        <v/>
      </c>
    </row>
    <row r="108">
      <c r="A108" t="inlineStr">
        <is>
          <t>Materials</t>
        </is>
      </c>
      <c r="B108" t="inlineStr">
        <is>
          <t>Electrical Materials</t>
        </is>
      </c>
      <c r="C108" s="11">
        <f>SUMIFS(Jan2026!K3:K100,Jan2026!L3:L100,$A108,Jan2026!M3:M100,$B108)+SUMIFS(Feb2026!K3:K100,Feb2026!L3:L100,$A108,Feb2026!M3:M100,$B108)+SUMIFS(Mar2026!K3:K100,Mar2026!L3:L100,$A108,Mar2026!M3:M100,$B108)+SUMIFS(Apr2026!K3:K100,Apr2026!L3:L100,$A108,Apr2026!M3:M100,$B108)+SUMIFS(May2026!K3:K100,May2026!L3:L100,$A108,May2026!M3:M100,$B108)+SUMIFS(Jun2026!K3:K100,Jun2026!L3:L100,$A108,Jun2026!M3:M100,$B108)+SUMIFS(Jul2026!K3:K100,Jul2026!L3:L100,$A108,Jul2026!M3:M100,$B108)+SUMIFS(Aug2026!K3:K100,Aug2026!L3:L100,$A108,Aug2026!M3:M100,$B108)+SUMIFS(Sep2026!K3:K100,Sep2026!L3:L100,$A108,Sep2026!M3:M100,$B108)+SUMIFS(Oct2026!K3:K100,Oct2026!L3:L100,$A108,Oct2026!M3:M100,$B108)+SUMIFS(Nov2026!K3:K100,Nov2026!L3:L100,$A108,Nov2026!M3:M100,$B108)+SUMIFS(Dec2026!K3:K100,Dec2026!L3:L100,$A108,Dec2026!M3:M100,$B108)</f>
        <v/>
      </c>
    </row>
    <row r="109">
      <c r="A109" t="inlineStr">
        <is>
          <t>Materials</t>
        </is>
      </c>
      <c r="B109" t="inlineStr">
        <is>
          <t>Paint</t>
        </is>
      </c>
      <c r="C109" s="11">
        <f>SUMIFS(Jan2026!K3:K100,Jan2026!L3:L100,$A109,Jan2026!M3:M100,$B109)+SUMIFS(Feb2026!K3:K100,Feb2026!L3:L100,$A109,Feb2026!M3:M100,$B109)+SUMIFS(Mar2026!K3:K100,Mar2026!L3:L100,$A109,Mar2026!M3:M100,$B109)+SUMIFS(Apr2026!K3:K100,Apr2026!L3:L100,$A109,Apr2026!M3:M100,$B109)+SUMIFS(May2026!K3:K100,May2026!L3:L100,$A109,May2026!M3:M100,$B109)+SUMIFS(Jun2026!K3:K100,Jun2026!L3:L100,$A109,Jun2026!M3:M100,$B109)+SUMIFS(Jul2026!K3:K100,Jul2026!L3:L100,$A109,Jul2026!M3:M100,$B109)+SUMIFS(Aug2026!K3:K100,Aug2026!L3:L100,$A109,Aug2026!M3:M100,$B109)+SUMIFS(Sep2026!K3:K100,Sep2026!L3:L100,$A109,Sep2026!M3:M100,$B109)+SUMIFS(Oct2026!K3:K100,Oct2026!L3:L100,$A109,Oct2026!M3:M100,$B109)+SUMIFS(Nov2026!K3:K100,Nov2026!L3:L100,$A109,Nov2026!M3:M100,$B109)+SUMIFS(Dec2026!K3:K100,Dec2026!L3:L100,$A109,Dec2026!M3:M100,$B109)</f>
        <v/>
      </c>
    </row>
    <row r="110">
      <c r="A110" t="inlineStr">
        <is>
          <t>Materials</t>
        </is>
      </c>
      <c r="B110" t="inlineStr">
        <is>
          <t>Tiles</t>
        </is>
      </c>
      <c r="C110" s="11">
        <f>SUMIFS(Jan2026!K3:K100,Jan2026!L3:L100,$A110,Jan2026!M3:M100,$B110)+SUMIFS(Feb2026!K3:K100,Feb2026!L3:L100,$A110,Feb2026!M3:M100,$B110)+SUMIFS(Mar2026!K3:K100,Mar2026!L3:L100,$A110,Mar2026!M3:M100,$B110)+SUMIFS(Apr2026!K3:K100,Apr2026!L3:L100,$A110,Apr2026!M3:M100,$B110)+SUMIFS(May2026!K3:K100,May2026!L3:L100,$A110,May2026!M3:M100,$B110)+SUMIFS(Jun2026!K3:K100,Jun2026!L3:L100,$A110,Jun2026!M3:M100,$B110)+SUMIFS(Jul2026!K3:K100,Jul2026!L3:L100,$A110,Jul2026!M3:M100,$B110)+SUMIFS(Aug2026!K3:K100,Aug2026!L3:L100,$A110,Aug2026!M3:M100,$B110)+SUMIFS(Sep2026!K3:K100,Sep2026!L3:L100,$A110,Sep2026!M3:M100,$B110)+SUMIFS(Oct2026!K3:K100,Oct2026!L3:L100,$A110,Oct2026!M3:M100,$B110)+SUMIFS(Nov2026!K3:K100,Nov2026!L3:L100,$A110,Nov2026!M3:M100,$B110)+SUMIFS(Dec2026!K3:K100,Dec2026!L3:L100,$A110,Dec2026!M3:M100,$B110)</f>
        <v/>
      </c>
    </row>
    <row r="111">
      <c r="A111" t="inlineStr">
        <is>
          <t>Operations</t>
        </is>
      </c>
      <c r="B111" t="inlineStr">
        <is>
          <t>Security</t>
        </is>
      </c>
      <c r="C111" s="11">
        <f>SUMIFS(Jan2026!K3:K100,Jan2026!L3:L100,$A111,Jan2026!M3:M100,$B111)+SUMIFS(Feb2026!K3:K100,Feb2026!L3:L100,$A111,Feb2026!M3:M100,$B111)+SUMIFS(Mar2026!K3:K100,Mar2026!L3:L100,$A111,Mar2026!M3:M100,$B111)+SUMIFS(Apr2026!K3:K100,Apr2026!L3:L100,$A111,Apr2026!M3:M100,$B111)+SUMIFS(May2026!K3:K100,May2026!L3:L100,$A111,May2026!M3:M100,$B111)+SUMIFS(Jun2026!K3:K100,Jun2026!L3:L100,$A111,Jun2026!M3:M100,$B111)+SUMIFS(Jul2026!K3:K100,Jul2026!L3:L100,$A111,Jul2026!M3:M100,$B111)+SUMIFS(Aug2026!K3:K100,Aug2026!L3:L100,$A111,Aug2026!M3:M100,$B111)+SUMIFS(Sep2026!K3:K100,Sep2026!L3:L100,$A111,Sep2026!M3:M100,$B111)+SUMIFS(Oct2026!K3:K100,Oct2026!L3:L100,$A111,Oct2026!M3:M100,$B111)+SUMIFS(Nov2026!K3:K100,Nov2026!L3:L100,$A111,Nov2026!M3:M100,$B111)+SUMIFS(Dec2026!K3:K100,Dec2026!L3:L100,$A111,Dec2026!M3:M100,$B111)</f>
        <v/>
      </c>
    </row>
    <row r="112">
      <c r="A112" t="inlineStr">
        <is>
          <t>Operations</t>
        </is>
      </c>
      <c r="B112" t="inlineStr">
        <is>
          <t>Housekeeping</t>
        </is>
      </c>
      <c r="C112" s="11">
        <f>SUMIFS(Jan2026!K3:K100,Jan2026!L3:L100,$A112,Jan2026!M3:M100,$B112)+SUMIFS(Feb2026!K3:K100,Feb2026!L3:L100,$A112,Feb2026!M3:M100,$B112)+SUMIFS(Mar2026!K3:K100,Mar2026!L3:L100,$A112,Mar2026!M3:M100,$B112)+SUMIFS(Apr2026!K3:K100,Apr2026!L3:L100,$A112,Apr2026!M3:M100,$B112)+SUMIFS(May2026!K3:K100,May2026!L3:L100,$A112,May2026!M3:M100,$B112)+SUMIFS(Jun2026!K3:K100,Jun2026!L3:L100,$A112,Jun2026!M3:M100,$B112)+SUMIFS(Jul2026!K3:K100,Jul2026!L3:L100,$A112,Jul2026!M3:M100,$B112)+SUMIFS(Aug2026!K3:K100,Aug2026!L3:L100,$A112,Aug2026!M3:M100,$B112)+SUMIFS(Sep2026!K3:K100,Sep2026!L3:L100,$A112,Sep2026!M3:M100,$B112)+SUMIFS(Oct2026!K3:K100,Oct2026!L3:L100,$A112,Oct2026!M3:M100,$B112)+SUMIFS(Nov2026!K3:K100,Nov2026!L3:L100,$A112,Nov2026!M3:M100,$B112)+SUMIFS(Dec2026!K3:K100,Dec2026!L3:L100,$A112,Dec2026!M3:M100,$B112)</f>
        <v/>
      </c>
    </row>
    <row r="113">
      <c r="A113" t="inlineStr">
        <is>
          <t>Operations</t>
        </is>
      </c>
      <c r="B113" t="inlineStr">
        <is>
          <t>Fuel &amp; Diesel</t>
        </is>
      </c>
      <c r="C113" s="11">
        <f>SUMIFS(Jan2026!K3:K100,Jan2026!L3:L100,$A113,Jan2026!M3:M100,$B113)+SUMIFS(Feb2026!K3:K100,Feb2026!L3:L100,$A113,Feb2026!M3:M100,$B113)+SUMIFS(Mar2026!K3:K100,Mar2026!L3:L100,$A113,Mar2026!M3:M100,$B113)+SUMIFS(Apr2026!K3:K100,Apr2026!L3:L100,$A113,Apr2026!M3:M100,$B113)+SUMIFS(May2026!K3:K100,May2026!L3:L100,$A113,May2026!M3:M100,$B113)+SUMIFS(Jun2026!K3:K100,Jun2026!L3:L100,$A113,Jun2026!M3:M100,$B113)+SUMIFS(Jul2026!K3:K100,Jul2026!L3:L100,$A113,Jul2026!M3:M100,$B113)+SUMIFS(Aug2026!K3:K100,Aug2026!L3:L100,$A113,Aug2026!M3:M100,$B113)+SUMIFS(Sep2026!K3:K100,Sep2026!L3:L100,$A113,Sep2026!M3:M100,$B113)+SUMIFS(Oct2026!K3:K100,Oct2026!L3:L100,$A113,Oct2026!M3:M100,$B113)+SUMIFS(Nov2026!K3:K100,Nov2026!L3:L100,$A113,Nov2026!M3:M100,$B113)+SUMIFS(Dec2026!K3:K100,Dec2026!L3:L100,$A113,Dec2026!M3:M100,$B113)</f>
        <v/>
      </c>
    </row>
    <row r="114">
      <c r="A114" t="inlineStr">
        <is>
          <t>Operations</t>
        </is>
      </c>
      <c r="B114" t="inlineStr">
        <is>
          <t>Vehicle Expenses</t>
        </is>
      </c>
      <c r="C114" s="11">
        <f>SUMIFS(Jan2026!K3:K100,Jan2026!L3:L100,$A114,Jan2026!M3:M100,$B114)+SUMIFS(Feb2026!K3:K100,Feb2026!L3:L100,$A114,Feb2026!M3:M100,$B114)+SUMIFS(Mar2026!K3:K100,Mar2026!L3:L100,$A114,Mar2026!M3:M100,$B114)+SUMIFS(Apr2026!K3:K100,Apr2026!L3:L100,$A114,Apr2026!M3:M100,$B114)+SUMIFS(May2026!K3:K100,May2026!L3:L100,$A114,May2026!M3:M100,$B114)+SUMIFS(Jun2026!K3:K100,Jun2026!L3:L100,$A114,Jun2026!M3:M100,$B114)+SUMIFS(Jul2026!K3:K100,Jul2026!L3:L100,$A114,Jul2026!M3:M100,$B114)+SUMIFS(Aug2026!K3:K100,Aug2026!L3:L100,$A114,Aug2026!M3:M100,$B114)+SUMIFS(Sep2026!K3:K100,Sep2026!L3:L100,$A114,Sep2026!M3:M100,$B114)+SUMIFS(Oct2026!K3:K100,Oct2026!L3:L100,$A114,Oct2026!M3:M100,$B114)+SUMIFS(Nov2026!K3:K100,Nov2026!L3:L100,$A114,Nov2026!M3:M100,$B114)+SUMIFS(Dec2026!K3:K100,Dec2026!L3:L100,$A114,Dec2026!M3:M100,$B114)</f>
        <v/>
      </c>
    </row>
    <row r="115">
      <c r="A115" t="inlineStr">
        <is>
          <t>Operations</t>
        </is>
      </c>
      <c r="B115" t="inlineStr">
        <is>
          <t>Repairs &amp; Maintenance</t>
        </is>
      </c>
      <c r="C115" s="11">
        <f>SUMIFS(Jan2026!K3:K100,Jan2026!L3:L100,$A115,Jan2026!M3:M100,$B115)+SUMIFS(Feb2026!K3:K100,Feb2026!L3:L100,$A115,Feb2026!M3:M100,$B115)+SUMIFS(Mar2026!K3:K100,Mar2026!L3:L100,$A115,Mar2026!M3:M100,$B115)+SUMIFS(Apr2026!K3:K100,Apr2026!L3:L100,$A115,Apr2026!M3:M100,$B115)+SUMIFS(May2026!K3:K100,May2026!L3:L100,$A115,May2026!M3:M100,$B115)+SUMIFS(Jun2026!K3:K100,Jun2026!L3:L100,$A115,Jun2026!M3:M100,$B115)+SUMIFS(Jul2026!K3:K100,Jul2026!L3:L100,$A115,Jul2026!M3:M100,$B115)+SUMIFS(Aug2026!K3:K100,Aug2026!L3:L100,$A115,Aug2026!M3:M100,$B115)+SUMIFS(Sep2026!K3:K100,Sep2026!L3:L100,$A115,Sep2026!M3:M100,$B115)+SUMIFS(Oct2026!K3:K100,Oct2026!L3:L100,$A115,Oct2026!M3:M100,$B115)+SUMIFS(Nov2026!K3:K100,Nov2026!L3:L100,$A115,Nov2026!M3:M100,$B115)+SUMIFS(Dec2026!K3:K100,Dec2026!L3:L100,$A115,Dec2026!M3:M100,$B115)</f>
        <v/>
      </c>
    </row>
    <row r="116">
      <c r="A116" t="inlineStr">
        <is>
          <t>Operations</t>
        </is>
      </c>
      <c r="B116" t="inlineStr">
        <is>
          <t>Office Expenses</t>
        </is>
      </c>
      <c r="C116" s="11">
        <f>SUMIFS(Jan2026!K3:K100,Jan2026!L3:L100,$A116,Jan2026!M3:M100,$B116)+SUMIFS(Feb2026!K3:K100,Feb2026!L3:L100,$A116,Feb2026!M3:M100,$B116)+SUMIFS(Mar2026!K3:K100,Mar2026!L3:L100,$A116,Mar2026!M3:M100,$B116)+SUMIFS(Apr2026!K3:K100,Apr2026!L3:L100,$A116,Apr2026!M3:M100,$B116)+SUMIFS(May2026!K3:K100,May2026!L3:L100,$A116,May2026!M3:M100,$B116)+SUMIFS(Jun2026!K3:K100,Jun2026!L3:L100,$A116,Jun2026!M3:M100,$B116)+SUMIFS(Jul2026!K3:K100,Jul2026!L3:L100,$A116,Jul2026!M3:M100,$B116)+SUMIFS(Aug2026!K3:K100,Aug2026!L3:L100,$A116,Aug2026!M3:M100,$B116)+SUMIFS(Sep2026!K3:K100,Sep2026!L3:L100,$A116,Sep2026!M3:M100,$B116)+SUMIFS(Oct2026!K3:K100,Oct2026!L3:L100,$A116,Oct2026!M3:M100,$B116)+SUMIFS(Nov2026!K3:K100,Nov2026!L3:L100,$A116,Nov2026!M3:M100,$B116)+SUMIFS(Dec2026!K3:K100,Dec2026!L3:L100,$A116,Dec2026!M3:M100,$B116)</f>
        <v/>
      </c>
    </row>
    <row r="117">
      <c r="A117" t="inlineStr">
        <is>
          <t>Operations</t>
        </is>
      </c>
      <c r="B117" t="inlineStr">
        <is>
          <t>Internet &amp; Phone</t>
        </is>
      </c>
      <c r="C117" s="11">
        <f>SUMIFS(Jan2026!K3:K100,Jan2026!L3:L100,$A117,Jan2026!M3:M100,$B117)+SUMIFS(Feb2026!K3:K100,Feb2026!L3:L100,$A117,Feb2026!M3:M100,$B117)+SUMIFS(Mar2026!K3:K100,Mar2026!L3:L100,$A117,Mar2026!M3:M100,$B117)+SUMIFS(Apr2026!K3:K100,Apr2026!L3:L100,$A117,Apr2026!M3:M100,$B117)+SUMIFS(May2026!K3:K100,May2026!L3:L100,$A117,May2026!M3:M100,$B117)+SUMIFS(Jun2026!K3:K100,Jun2026!L3:L100,$A117,Jun2026!M3:M100,$B117)+SUMIFS(Jul2026!K3:K100,Jul2026!L3:L100,$A117,Jul2026!M3:M100,$B117)+SUMIFS(Aug2026!K3:K100,Aug2026!L3:L100,$A117,Aug2026!M3:M100,$B117)+SUMIFS(Sep2026!K3:K100,Sep2026!L3:L100,$A117,Sep2026!M3:M100,$B117)+SUMIFS(Oct2026!K3:K100,Oct2026!L3:L100,$A117,Oct2026!M3:M100,$B117)+SUMIFS(Nov2026!K3:K100,Nov2026!L3:L100,$A117,Nov2026!M3:M100,$B117)+SUMIFS(Dec2026!K3:K100,Dec2026!L3:L100,$A117,Dec2026!M3:M100,$B117)</f>
        <v/>
      </c>
    </row>
    <row r="118">
      <c r="A118" t="inlineStr">
        <is>
          <t>Marketing &amp; Sales</t>
        </is>
      </c>
      <c r="B118" t="inlineStr">
        <is>
          <t>Advertisement</t>
        </is>
      </c>
      <c r="C118" s="11">
        <f>SUMIFS(Jan2026!K3:K100,Jan2026!L3:L100,$A118,Jan2026!M3:M100,$B118)+SUMIFS(Feb2026!K3:K100,Feb2026!L3:L100,$A118,Feb2026!M3:M100,$B118)+SUMIFS(Mar2026!K3:K100,Mar2026!L3:L100,$A118,Mar2026!M3:M100,$B118)+SUMIFS(Apr2026!K3:K100,Apr2026!L3:L100,$A118,Apr2026!M3:M100,$B118)+SUMIFS(May2026!K3:K100,May2026!L3:L100,$A118,May2026!M3:M100,$B118)+SUMIFS(Jun2026!K3:K100,Jun2026!L3:L100,$A118,Jun2026!M3:M100,$B118)+SUMIFS(Jul2026!K3:K100,Jul2026!L3:L100,$A118,Jul2026!M3:M100,$B118)+SUMIFS(Aug2026!K3:K100,Aug2026!L3:L100,$A118,Aug2026!M3:M100,$B118)+SUMIFS(Sep2026!K3:K100,Sep2026!L3:L100,$A118,Sep2026!M3:M100,$B118)+SUMIFS(Oct2026!K3:K100,Oct2026!L3:L100,$A118,Oct2026!M3:M100,$B118)+SUMIFS(Nov2026!K3:K100,Nov2026!L3:L100,$A118,Nov2026!M3:M100,$B118)+SUMIFS(Dec2026!K3:K100,Dec2026!L3:L100,$A118,Dec2026!M3:M100,$B118)</f>
        <v/>
      </c>
    </row>
    <row r="119">
      <c r="A119" t="inlineStr">
        <is>
          <t>Marketing &amp; Sales</t>
        </is>
      </c>
      <c r="B119" t="inlineStr">
        <is>
          <t>Flex Boards</t>
        </is>
      </c>
      <c r="C119" s="11">
        <f>SUMIFS(Jan2026!K3:K100,Jan2026!L3:L100,$A119,Jan2026!M3:M100,$B119)+SUMIFS(Feb2026!K3:K100,Feb2026!L3:L100,$A119,Feb2026!M3:M100,$B119)+SUMIFS(Mar2026!K3:K100,Mar2026!L3:L100,$A119,Mar2026!M3:M100,$B119)+SUMIFS(Apr2026!K3:K100,Apr2026!L3:L100,$A119,Apr2026!M3:M100,$B119)+SUMIFS(May2026!K3:K100,May2026!L3:L100,$A119,May2026!M3:M100,$B119)+SUMIFS(Jun2026!K3:K100,Jun2026!L3:L100,$A119,Jun2026!M3:M100,$B119)+SUMIFS(Jul2026!K3:K100,Jul2026!L3:L100,$A119,Jul2026!M3:M100,$B119)+SUMIFS(Aug2026!K3:K100,Aug2026!L3:L100,$A119,Aug2026!M3:M100,$B119)+SUMIFS(Sep2026!K3:K100,Sep2026!L3:L100,$A119,Sep2026!M3:M100,$B119)+SUMIFS(Oct2026!K3:K100,Oct2026!L3:L100,$A119,Oct2026!M3:M100,$B119)+SUMIFS(Nov2026!K3:K100,Nov2026!L3:L100,$A119,Nov2026!M3:M100,$B119)+SUMIFS(Dec2026!K3:K100,Dec2026!L3:L100,$A119,Dec2026!M3:M100,$B119)</f>
        <v/>
      </c>
    </row>
    <row r="120">
      <c r="A120" t="inlineStr">
        <is>
          <t>Marketing &amp; Sales</t>
        </is>
      </c>
      <c r="B120" t="inlineStr">
        <is>
          <t>Brochures</t>
        </is>
      </c>
      <c r="C120" s="11">
        <f>SUMIFS(Jan2026!K3:K100,Jan2026!L3:L100,$A120,Jan2026!M3:M100,$B120)+SUMIFS(Feb2026!K3:K100,Feb2026!L3:L100,$A120,Feb2026!M3:M100,$B120)+SUMIFS(Mar2026!K3:K100,Mar2026!L3:L100,$A120,Mar2026!M3:M100,$B120)+SUMIFS(Apr2026!K3:K100,Apr2026!L3:L100,$A120,Apr2026!M3:M100,$B120)+SUMIFS(May2026!K3:K100,May2026!L3:L100,$A120,May2026!M3:M100,$B120)+SUMIFS(Jun2026!K3:K100,Jun2026!L3:L100,$A120,Jun2026!M3:M100,$B120)+SUMIFS(Jul2026!K3:K100,Jul2026!L3:L100,$A120,Jul2026!M3:M100,$B120)+SUMIFS(Aug2026!K3:K100,Aug2026!L3:L100,$A120,Aug2026!M3:M100,$B120)+SUMIFS(Sep2026!K3:K100,Sep2026!L3:L100,$A120,Sep2026!M3:M100,$B120)+SUMIFS(Oct2026!K3:K100,Oct2026!L3:L100,$A120,Oct2026!M3:M100,$B120)+SUMIFS(Nov2026!K3:K100,Nov2026!L3:L100,$A120,Nov2026!M3:M100,$B120)+SUMIFS(Dec2026!K3:K100,Dec2026!L3:L100,$A120,Dec2026!M3:M100,$B120)</f>
        <v/>
      </c>
    </row>
    <row r="121">
      <c r="A121" t="inlineStr">
        <is>
          <t>Marketing &amp; Sales</t>
        </is>
      </c>
      <c r="B121" t="inlineStr">
        <is>
          <t>Events</t>
        </is>
      </c>
      <c r="C121" s="11">
        <f>SUMIFS(Jan2026!K3:K100,Jan2026!L3:L100,$A121,Jan2026!M3:M100,$B121)+SUMIFS(Feb2026!K3:K100,Feb2026!L3:L100,$A121,Feb2026!M3:M100,$B121)+SUMIFS(Mar2026!K3:K100,Mar2026!L3:L100,$A121,Mar2026!M3:M100,$B121)+SUMIFS(Apr2026!K3:K100,Apr2026!L3:L100,$A121,Apr2026!M3:M100,$B121)+SUMIFS(May2026!K3:K100,May2026!L3:L100,$A121,May2026!M3:M100,$B121)+SUMIFS(Jun2026!K3:K100,Jun2026!L3:L100,$A121,Jun2026!M3:M100,$B121)+SUMIFS(Jul2026!K3:K100,Jul2026!L3:L100,$A121,Jul2026!M3:M100,$B121)+SUMIFS(Aug2026!K3:K100,Aug2026!L3:L100,$A121,Aug2026!M3:M100,$B121)+SUMIFS(Sep2026!K3:K100,Sep2026!L3:L100,$A121,Sep2026!M3:M100,$B121)+SUMIFS(Oct2026!K3:K100,Oct2026!L3:L100,$A121,Oct2026!M3:M100,$B121)+SUMIFS(Nov2026!K3:K100,Nov2026!L3:L100,$A121,Nov2026!M3:M100,$B121)+SUMIFS(Dec2026!K3:K100,Dec2026!L3:L100,$A121,Dec2026!M3:M100,$B121)</f>
        <v/>
      </c>
    </row>
    <row r="122">
      <c r="A122" t="inlineStr">
        <is>
          <t>Marketing &amp; Sales</t>
        </is>
      </c>
      <c r="B122" t="inlineStr">
        <is>
          <t>Photography &amp; Drone</t>
        </is>
      </c>
      <c r="C122" s="11">
        <f>SUMIFS(Jan2026!K3:K100,Jan2026!L3:L100,$A122,Jan2026!M3:M100,$B122)+SUMIFS(Feb2026!K3:K100,Feb2026!L3:L100,$A122,Feb2026!M3:M100,$B122)+SUMIFS(Mar2026!K3:K100,Mar2026!L3:L100,$A122,Mar2026!M3:M100,$B122)+SUMIFS(Apr2026!K3:K100,Apr2026!L3:L100,$A122,Apr2026!M3:M100,$B122)+SUMIFS(May2026!K3:K100,May2026!L3:L100,$A122,May2026!M3:M100,$B122)+SUMIFS(Jun2026!K3:K100,Jun2026!L3:L100,$A122,Jun2026!M3:M100,$B122)+SUMIFS(Jul2026!K3:K100,Jul2026!L3:L100,$A122,Jul2026!M3:M100,$B122)+SUMIFS(Aug2026!K3:K100,Aug2026!L3:L100,$A122,Aug2026!M3:M100,$B122)+SUMIFS(Sep2026!K3:K100,Sep2026!L3:L100,$A122,Sep2026!M3:M100,$B122)+SUMIFS(Oct2026!K3:K100,Oct2026!L3:L100,$A122,Oct2026!M3:M100,$B122)+SUMIFS(Nov2026!K3:K100,Nov2026!L3:L100,$A122,Nov2026!M3:M100,$B122)+SUMIFS(Dec2026!K3:K100,Dec2026!L3:L100,$A122,Dec2026!M3:M100,$B122)</f>
        <v/>
      </c>
    </row>
    <row r="123">
      <c r="A123" t="inlineStr">
        <is>
          <t>Marketing &amp; Sales</t>
        </is>
      </c>
      <c r="B123" t="inlineStr">
        <is>
          <t>Digital Marketing</t>
        </is>
      </c>
      <c r="C123" s="11">
        <f>SUMIFS(Jan2026!K3:K100,Jan2026!L3:L100,$A123,Jan2026!M3:M100,$B123)+SUMIFS(Feb2026!K3:K100,Feb2026!L3:L100,$A123,Feb2026!M3:M100,$B123)+SUMIFS(Mar2026!K3:K100,Mar2026!L3:L100,$A123,Mar2026!M3:M100,$B123)+SUMIFS(Apr2026!K3:K100,Apr2026!L3:L100,$A123,Apr2026!M3:M100,$B123)+SUMIFS(May2026!K3:K100,May2026!L3:L100,$A123,May2026!M3:M100,$B123)+SUMIFS(Jun2026!K3:K100,Jun2026!L3:L100,$A123,Jun2026!M3:M100,$B123)+SUMIFS(Jul2026!K3:K100,Jul2026!L3:L100,$A123,Jul2026!M3:M100,$B123)+SUMIFS(Aug2026!K3:K100,Aug2026!L3:L100,$A123,Aug2026!M3:M100,$B123)+SUMIFS(Sep2026!K3:K100,Sep2026!L3:L100,$A123,Sep2026!M3:M100,$B123)+SUMIFS(Oct2026!K3:K100,Oct2026!L3:L100,$A123,Oct2026!M3:M100,$B123)+SUMIFS(Nov2026!K3:K100,Nov2026!L3:L100,$A123,Nov2026!M3:M100,$B123)+SUMIFS(Dec2026!K3:K100,Dec2026!L3:L100,$A123,Dec2026!M3:M100,$B123)</f>
        <v/>
      </c>
    </row>
    <row r="124">
      <c r="A124" t="inlineStr">
        <is>
          <t>Miscellaneous</t>
        </is>
      </c>
      <c r="B124" t="inlineStr">
        <is>
          <t>Travel Expenses</t>
        </is>
      </c>
      <c r="C124" s="11">
        <f>SUMIFS(Jan2026!K3:K100,Jan2026!L3:L100,$A124,Jan2026!M3:M100,$B124)+SUMIFS(Feb2026!K3:K100,Feb2026!L3:L100,$A124,Feb2026!M3:M100,$B124)+SUMIFS(Mar2026!K3:K100,Mar2026!L3:L100,$A124,Mar2026!M3:M100,$B124)+SUMIFS(Apr2026!K3:K100,Apr2026!L3:L100,$A124,Apr2026!M3:M100,$B124)+SUMIFS(May2026!K3:K100,May2026!L3:L100,$A124,May2026!M3:M100,$B124)+SUMIFS(Jun2026!K3:K100,Jun2026!L3:L100,$A124,Jun2026!M3:M100,$B124)+SUMIFS(Jul2026!K3:K100,Jul2026!L3:L100,$A124,Jul2026!M3:M100,$B124)+SUMIFS(Aug2026!K3:K100,Aug2026!L3:L100,$A124,Aug2026!M3:M100,$B124)+SUMIFS(Sep2026!K3:K100,Sep2026!L3:L100,$A124,Sep2026!M3:M100,$B124)+SUMIFS(Oct2026!K3:K100,Oct2026!L3:L100,$A124,Oct2026!M3:M100,$B124)+SUMIFS(Nov2026!K3:K100,Nov2026!L3:L100,$A124,Nov2026!M3:M100,$B124)+SUMIFS(Dec2026!K3:K100,Dec2026!L3:L100,$A124,Dec2026!M3:M100,$B124)</f>
        <v/>
      </c>
    </row>
    <row r="125">
      <c r="A125" t="inlineStr">
        <is>
          <t>Miscellaneous</t>
        </is>
      </c>
      <c r="B125" t="inlineStr">
        <is>
          <t>Food &amp; Refreshments</t>
        </is>
      </c>
      <c r="C125" s="11">
        <f>SUMIFS(Jan2026!K3:K100,Jan2026!L3:L100,$A125,Jan2026!M3:M100,$B125)+SUMIFS(Feb2026!K3:K100,Feb2026!L3:L100,$A125,Feb2026!M3:M100,$B125)+SUMIFS(Mar2026!K3:K100,Mar2026!L3:L100,$A125,Mar2026!M3:M100,$B125)+SUMIFS(Apr2026!K3:K100,Apr2026!L3:L100,$A125,Apr2026!M3:M100,$B125)+SUMIFS(May2026!K3:K100,May2026!L3:L100,$A125,May2026!M3:M100,$B125)+SUMIFS(Jun2026!K3:K100,Jun2026!L3:L100,$A125,Jun2026!M3:M100,$B125)+SUMIFS(Jul2026!K3:K100,Jul2026!L3:L100,$A125,Jul2026!M3:M100,$B125)+SUMIFS(Aug2026!K3:K100,Aug2026!L3:L100,$A125,Aug2026!M3:M100,$B125)+SUMIFS(Sep2026!K3:K100,Sep2026!L3:L100,$A125,Sep2026!M3:M100,$B125)+SUMIFS(Oct2026!K3:K100,Oct2026!L3:L100,$A125,Oct2026!M3:M100,$B125)+SUMIFS(Nov2026!K3:K100,Nov2026!L3:L100,$A125,Nov2026!M3:M100,$B125)+SUMIFS(Dec2026!K3:K100,Dec2026!L3:L100,$A125,Dec2026!M3:M100,$B125)</f>
        <v/>
      </c>
    </row>
    <row r="126">
      <c r="A126" t="inlineStr">
        <is>
          <t>Miscellaneous</t>
        </is>
      </c>
      <c r="B126" t="inlineStr">
        <is>
          <t>Government Fees</t>
        </is>
      </c>
      <c r="C126" s="11">
        <f>SUMIFS(Jan2026!K3:K100,Jan2026!L3:L100,$A126,Jan2026!M3:M100,$B126)+SUMIFS(Feb2026!K3:K100,Feb2026!L3:L100,$A126,Feb2026!M3:M100,$B126)+SUMIFS(Mar2026!K3:K100,Mar2026!L3:L100,$A126,Mar2026!M3:M100,$B126)+SUMIFS(Apr2026!K3:K100,Apr2026!L3:L100,$A126,Apr2026!M3:M100,$B126)+SUMIFS(May2026!K3:K100,May2026!L3:L100,$A126,May2026!M3:M100,$B126)+SUMIFS(Jun2026!K3:K100,Jun2026!L3:L100,$A126,Jun2026!M3:M100,$B126)+SUMIFS(Jul2026!K3:K100,Jul2026!L3:L100,$A126,Jul2026!M3:M100,$B126)+SUMIFS(Aug2026!K3:K100,Aug2026!L3:L100,$A126,Aug2026!M3:M100,$B126)+SUMIFS(Sep2026!K3:K100,Sep2026!L3:L100,$A126,Sep2026!M3:M100,$B126)+SUMIFS(Oct2026!K3:K100,Oct2026!L3:L100,$A126,Oct2026!M3:M100,$B126)+SUMIFS(Nov2026!K3:K100,Nov2026!L3:L100,$A126,Nov2026!M3:M100,$B126)+SUMIFS(Dec2026!K3:K100,Dec2026!L3:L100,$A126,Dec2026!M3:M100,$B126)</f>
        <v/>
      </c>
    </row>
    <row r="127">
      <c r="A127" t="inlineStr">
        <is>
          <t>Miscellaneous</t>
        </is>
      </c>
      <c r="B127" t="inlineStr">
        <is>
          <t>Bank Charges</t>
        </is>
      </c>
      <c r="C127" s="11">
        <f>SUMIFS(Jan2026!K3:K100,Jan2026!L3:L100,$A127,Jan2026!M3:M100,$B127)+SUMIFS(Feb2026!K3:K100,Feb2026!L3:L100,$A127,Feb2026!M3:M100,$B127)+SUMIFS(Mar2026!K3:K100,Mar2026!L3:L100,$A127,Mar2026!M3:M100,$B127)+SUMIFS(Apr2026!K3:K100,Apr2026!L3:L100,$A127,Apr2026!M3:M100,$B127)+SUMIFS(May2026!K3:K100,May2026!L3:L100,$A127,May2026!M3:M100,$B127)+SUMIFS(Jun2026!K3:K100,Jun2026!L3:L100,$A127,Jun2026!M3:M100,$B127)+SUMIFS(Jul2026!K3:K100,Jul2026!L3:L100,$A127,Jul2026!M3:M100,$B127)+SUMIFS(Aug2026!K3:K100,Aug2026!L3:L100,$A127,Aug2026!M3:M100,$B127)+SUMIFS(Sep2026!K3:K100,Sep2026!L3:L100,$A127,Sep2026!M3:M100,$B127)+SUMIFS(Oct2026!K3:K100,Oct2026!L3:L100,$A127,Oct2026!M3:M100,$B127)+SUMIFS(Nov2026!K3:K100,Nov2026!L3:L100,$A127,Nov2026!M3:M100,$B127)+SUMIFS(Dec2026!K3:K100,Dec2026!L3:L100,$A127,Dec2026!M3:M100,$B127)</f>
        <v/>
      </c>
    </row>
    <row r="128">
      <c r="A128" t="inlineStr">
        <is>
          <t>Miscellaneous</t>
        </is>
      </c>
      <c r="B128" t="inlineStr">
        <is>
          <t>Miscellaneous Expenses</t>
        </is>
      </c>
      <c r="C128" s="11">
        <f>SUMIFS(Jan2026!K3:K100,Jan2026!L3:L100,$A128,Jan2026!M3:M100,$B128)+SUMIFS(Feb2026!K3:K100,Feb2026!L3:L100,$A128,Feb2026!M3:M100,$B128)+SUMIFS(Mar2026!K3:K100,Mar2026!L3:L100,$A128,Mar2026!M3:M100,$B128)+SUMIFS(Apr2026!K3:K100,Apr2026!L3:L100,$A128,Apr2026!M3:M100,$B128)+SUMIFS(May2026!K3:K100,May2026!L3:L100,$A128,May2026!M3:M100,$B128)+SUMIFS(Jun2026!K3:K100,Jun2026!L3:L100,$A128,Jun2026!M3:M100,$B128)+SUMIFS(Jul2026!K3:K100,Jul2026!L3:L100,$A128,Jul2026!M3:M100,$B128)+SUMIFS(Aug2026!K3:K100,Aug2026!L3:L100,$A128,Aug2026!M3:M100,$B128)+SUMIFS(Sep2026!K3:K100,Sep2026!L3:L100,$A128,Sep2026!M3:M100,$B128)+SUMIFS(Oct2026!K3:K100,Oct2026!L3:L100,$A128,Oct2026!M3:M100,$B128)+SUMIFS(Nov2026!K3:K100,Nov2026!L3:L100,$A128,Nov2026!M3:M100,$B128)+SUMIFS(Dec2026!K3:K100,Dec2026!L3:L100,$A128,Dec2026!M3:M100,$B128)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2" customWidth="1" min="4" max="4"/>
    <col width="16" customWidth="1" min="5" max="5"/>
    <col width="14" customWidth="1" min="6" max="6"/>
    <col width="20" customWidth="1" min="7" max="7"/>
    <col width="12" customWidth="1" min="9" max="9"/>
    <col width="14" customWidth="1" min="10" max="10"/>
    <col width="12" customWidth="1" min="11" max="11"/>
    <col width="20" customWidth="1" min="12" max="12"/>
    <col width="20" customWidth="1" min="13" max="13"/>
    <col width="14" customWidth="1" min="14" max="14"/>
    <col width="20" customWidth="1" min="15" max="15"/>
  </cols>
  <sheetData>
    <row r="1">
      <c r="A1" s="1" t="inlineStr">
        <is>
          <t>Receipts</t>
        </is>
      </c>
      <c r="I1" s="1" t="inlineStr">
        <is>
          <t>Payments</t>
        </is>
      </c>
    </row>
    <row r="2">
      <c r="A2" s="2" t="inlineStr">
        <is>
          <t>SNO</t>
        </is>
      </c>
      <c r="B2" s="2" t="inlineStr">
        <is>
          <t>Date</t>
        </is>
      </c>
      <c r="C2" s="2" t="inlineStr">
        <is>
          <t>Receipts</t>
        </is>
      </c>
      <c r="D2" s="2" t="inlineStr">
        <is>
          <t>Amount</t>
        </is>
      </c>
      <c r="E2" s="2" t="inlineStr">
        <is>
          <t>Category</t>
        </is>
      </c>
      <c r="F2" s="2" t="inlineStr">
        <is>
          <t>Payment Mode</t>
        </is>
      </c>
      <c r="I2" s="3" t="inlineStr">
        <is>
          <t>Date</t>
        </is>
      </c>
      <c r="J2" s="3" t="inlineStr">
        <is>
          <t>Payments</t>
        </is>
      </c>
      <c r="K2" s="3" t="inlineStr">
        <is>
          <t>Amount</t>
        </is>
      </c>
      <c r="L2" s="3" t="inlineStr">
        <is>
          <t>Main Category</t>
        </is>
      </c>
      <c r="M2" s="3" t="inlineStr">
        <is>
          <t>Sub-Category</t>
        </is>
      </c>
      <c r="N2" s="3" t="inlineStr">
        <is>
          <t>Payment Mode</t>
        </is>
      </c>
      <c r="O2" s="3" t="inlineStr">
        <is>
          <t>Comments</t>
        </is>
      </c>
    </row>
    <row r="102">
      <c r="A102" s="1" t="inlineStr">
        <is>
          <t>Summary</t>
        </is>
      </c>
    </row>
    <row r="103">
      <c r="A103" s="6" t="inlineStr">
        <is>
          <t>Opening Balance</t>
        </is>
      </c>
      <c r="B103" s="7" t="n">
        <v>0</v>
      </c>
    </row>
    <row r="104">
      <c r="A104" s="6" t="inlineStr">
        <is>
          <t>Total Receipts</t>
        </is>
      </c>
      <c r="B104" s="7">
        <f>SUM(D3:D100)</f>
        <v/>
      </c>
    </row>
    <row r="105">
      <c r="A105" s="6" t="inlineStr">
        <is>
          <t>Total Payments</t>
        </is>
      </c>
      <c r="B105" s="7">
        <f>SUM(K3:K100)</f>
        <v/>
      </c>
    </row>
    <row r="106">
      <c r="A106" s="6" t="inlineStr">
        <is>
          <t>Net / Closing Balance</t>
        </is>
      </c>
      <c r="B106" s="7">
        <f>B103+B104-B105</f>
        <v/>
      </c>
    </row>
  </sheetData>
  <dataValidations count="5">
    <dataValidation sqref="E3:E100" showDropDown="0" showInputMessage="0" showErrorMessage="0" allowBlank="1" type="list">
      <formula1>='Categories'!$A$3:$A$6</formula1>
    </dataValidation>
    <dataValidation sqref="L3:L100" showDropDown="0" showInputMessage="0" showErrorMessage="0" allowBlank="1" type="list">
      <formula1>='Categories'!$F$3:$F$12</formula1>
    </dataValidation>
    <dataValidation sqref="M3:M100" showDropDown="0" showInputMessage="0" showErrorMessage="0" allowBlank="1" errorTitle="Invalid Sub-Category" error="Select a Main Category first, or pick a value that matches its sub-category list." type="list">
      <formula1>INDIRECT("Cat_"&amp;SUBSTITUTE(SUBSTITUTE(L3," &amp; ","_")," ","_"))</formula1>
    </dataValidation>
    <dataValidation sqref="F3:F100" showDropDown="0" showInputMessage="0" showErrorMessage="0" allowBlank="1" type="list">
      <formula1>"Bank,Cash"</formula1>
    </dataValidation>
    <dataValidation sqref="N3:N100" showDropDown="0" showInputMessage="0" showErrorMessage="0" allowBlank="1" type="list">
      <formula1>"Bank,Cash"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2" customWidth="1" min="4" max="4"/>
    <col width="16" customWidth="1" min="5" max="5"/>
    <col width="14" customWidth="1" min="6" max="6"/>
    <col width="20" customWidth="1" min="7" max="7"/>
    <col width="12" customWidth="1" min="9" max="9"/>
    <col width="14" customWidth="1" min="10" max="10"/>
    <col width="12" customWidth="1" min="11" max="11"/>
    <col width="20" customWidth="1" min="12" max="12"/>
    <col width="20" customWidth="1" min="13" max="13"/>
    <col width="14" customWidth="1" min="14" max="14"/>
    <col width="20" customWidth="1" min="15" max="15"/>
  </cols>
  <sheetData>
    <row r="1">
      <c r="A1" s="1" t="inlineStr">
        <is>
          <t>Receipts</t>
        </is>
      </c>
      <c r="I1" s="1" t="inlineStr">
        <is>
          <t>Payments</t>
        </is>
      </c>
    </row>
    <row r="2">
      <c r="A2" s="2" t="inlineStr">
        <is>
          <t>SNO</t>
        </is>
      </c>
      <c r="B2" s="2" t="inlineStr">
        <is>
          <t>Date</t>
        </is>
      </c>
      <c r="C2" s="2" t="inlineStr">
        <is>
          <t>Receipts</t>
        </is>
      </c>
      <c r="D2" s="2" t="inlineStr">
        <is>
          <t>Amount</t>
        </is>
      </c>
      <c r="E2" s="2" t="inlineStr">
        <is>
          <t>Category</t>
        </is>
      </c>
      <c r="F2" s="2" t="inlineStr">
        <is>
          <t>Payment Mode</t>
        </is>
      </c>
      <c r="I2" s="3" t="inlineStr">
        <is>
          <t>Date</t>
        </is>
      </c>
      <c r="J2" s="3" t="inlineStr">
        <is>
          <t>Payments</t>
        </is>
      </c>
      <c r="K2" s="3" t="inlineStr">
        <is>
          <t>Amount</t>
        </is>
      </c>
      <c r="L2" s="3" t="inlineStr">
        <is>
          <t>Main Category</t>
        </is>
      </c>
      <c r="M2" s="3" t="inlineStr">
        <is>
          <t>Sub-Category</t>
        </is>
      </c>
      <c r="N2" s="3" t="inlineStr">
        <is>
          <t>Payment Mode</t>
        </is>
      </c>
      <c r="O2" s="3" t="inlineStr">
        <is>
          <t>Comments</t>
        </is>
      </c>
    </row>
    <row r="102">
      <c r="A102" s="1" t="inlineStr">
        <is>
          <t>Summary</t>
        </is>
      </c>
    </row>
    <row r="103">
      <c r="A103" s="6" t="inlineStr">
        <is>
          <t>Opening Balance</t>
        </is>
      </c>
      <c r="B103" s="7">
        <f>'Jan2026'!B106</f>
        <v/>
      </c>
    </row>
    <row r="104">
      <c r="A104" s="6" t="inlineStr">
        <is>
          <t>Total Receipts</t>
        </is>
      </c>
      <c r="B104" s="7">
        <f>SUM(D3:D100)</f>
        <v/>
      </c>
    </row>
    <row r="105">
      <c r="A105" s="6" t="inlineStr">
        <is>
          <t>Total Payments</t>
        </is>
      </c>
      <c r="B105" s="7">
        <f>SUM(K3:K100)</f>
        <v/>
      </c>
    </row>
    <row r="106">
      <c r="A106" s="6" t="inlineStr">
        <is>
          <t>Net / Closing Balance</t>
        </is>
      </c>
      <c r="B106" s="7">
        <f>B103+B104-B105</f>
        <v/>
      </c>
    </row>
  </sheetData>
  <dataValidations count="5">
    <dataValidation sqref="E3:E100" showDropDown="0" showInputMessage="0" showErrorMessage="0" allowBlank="1" type="list">
      <formula1>='Categories'!$A$3:$A$6</formula1>
    </dataValidation>
    <dataValidation sqref="L3:L100" showDropDown="0" showInputMessage="0" showErrorMessage="0" allowBlank="1" type="list">
      <formula1>='Categories'!$F$3:$F$12</formula1>
    </dataValidation>
    <dataValidation sqref="M3:M100" showDropDown="0" showInputMessage="0" showErrorMessage="0" allowBlank="1" errorTitle="Invalid Sub-Category" error="Select a Main Category first, or pick a value that matches its sub-category list." type="list">
      <formula1>INDIRECT("Cat_"&amp;SUBSTITUTE(SUBSTITUTE(L3," &amp; ","_")," ","_"))</formula1>
    </dataValidation>
    <dataValidation sqref="F3:F100" showDropDown="0" showInputMessage="0" showErrorMessage="0" allowBlank="1" type="list">
      <formula1>"Bank,Cash"</formula1>
    </dataValidation>
    <dataValidation sqref="N3:N100" showDropDown="0" showInputMessage="0" showErrorMessage="0" allowBlank="1" type="list">
      <formula1>"Bank,Cash"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2" customWidth="1" min="4" max="4"/>
    <col width="16" customWidth="1" min="5" max="5"/>
    <col width="14" customWidth="1" min="6" max="6"/>
    <col width="20" customWidth="1" min="7" max="7"/>
    <col width="12" customWidth="1" min="9" max="9"/>
    <col width="14" customWidth="1" min="10" max="10"/>
    <col width="12" customWidth="1" min="11" max="11"/>
    <col width="20" customWidth="1" min="12" max="12"/>
    <col width="20" customWidth="1" min="13" max="13"/>
    <col width="14" customWidth="1" min="14" max="14"/>
    <col width="20" customWidth="1" min="15" max="15"/>
  </cols>
  <sheetData>
    <row r="1">
      <c r="A1" s="1" t="inlineStr">
        <is>
          <t>Receipts</t>
        </is>
      </c>
      <c r="I1" s="1" t="inlineStr">
        <is>
          <t>Payments</t>
        </is>
      </c>
    </row>
    <row r="2">
      <c r="A2" s="2" t="inlineStr">
        <is>
          <t>SNO</t>
        </is>
      </c>
      <c r="B2" s="2" t="inlineStr">
        <is>
          <t>Date</t>
        </is>
      </c>
      <c r="C2" s="2" t="inlineStr">
        <is>
          <t>Receipts</t>
        </is>
      </c>
      <c r="D2" s="2" t="inlineStr">
        <is>
          <t>Amount</t>
        </is>
      </c>
      <c r="E2" s="2" t="inlineStr">
        <is>
          <t>Category</t>
        </is>
      </c>
      <c r="F2" s="2" t="inlineStr">
        <is>
          <t>Payment Mode</t>
        </is>
      </c>
      <c r="I2" s="3" t="inlineStr">
        <is>
          <t>Date</t>
        </is>
      </c>
      <c r="J2" s="3" t="inlineStr">
        <is>
          <t>Payments</t>
        </is>
      </c>
      <c r="K2" s="3" t="inlineStr">
        <is>
          <t>Amount</t>
        </is>
      </c>
      <c r="L2" s="3" t="inlineStr">
        <is>
          <t>Main Category</t>
        </is>
      </c>
      <c r="M2" s="3" t="inlineStr">
        <is>
          <t>Sub-Category</t>
        </is>
      </c>
      <c r="N2" s="3" t="inlineStr">
        <is>
          <t>Payment Mode</t>
        </is>
      </c>
      <c r="O2" s="3" t="inlineStr">
        <is>
          <t>Comments</t>
        </is>
      </c>
    </row>
    <row r="102">
      <c r="A102" s="1" t="inlineStr">
        <is>
          <t>Summary</t>
        </is>
      </c>
    </row>
    <row r="103">
      <c r="A103" s="6" t="inlineStr">
        <is>
          <t>Opening Balance</t>
        </is>
      </c>
      <c r="B103" s="7">
        <f>'Feb2026'!B106</f>
        <v/>
      </c>
    </row>
    <row r="104">
      <c r="A104" s="6" t="inlineStr">
        <is>
          <t>Total Receipts</t>
        </is>
      </c>
      <c r="B104" s="7">
        <f>SUM(D3:D100)</f>
        <v/>
      </c>
    </row>
    <row r="105">
      <c r="A105" s="6" t="inlineStr">
        <is>
          <t>Total Payments</t>
        </is>
      </c>
      <c r="B105" s="7">
        <f>SUM(K3:K100)</f>
        <v/>
      </c>
    </row>
    <row r="106">
      <c r="A106" s="6" t="inlineStr">
        <is>
          <t>Net / Closing Balance</t>
        </is>
      </c>
      <c r="B106" s="7">
        <f>B103+B104-B105</f>
        <v/>
      </c>
    </row>
  </sheetData>
  <dataValidations count="5">
    <dataValidation sqref="E3:E100" showDropDown="0" showInputMessage="0" showErrorMessage="0" allowBlank="1" type="list">
      <formula1>='Categories'!$A$3:$A$6</formula1>
    </dataValidation>
    <dataValidation sqref="L3:L100" showDropDown="0" showInputMessage="0" showErrorMessage="0" allowBlank="1" type="list">
      <formula1>='Categories'!$F$3:$F$12</formula1>
    </dataValidation>
    <dataValidation sqref="M3:M100" showDropDown="0" showInputMessage="0" showErrorMessage="0" allowBlank="1" errorTitle="Invalid Sub-Category" error="Select a Main Category first, or pick a value that matches its sub-category list." type="list">
      <formula1>INDIRECT("Cat_"&amp;SUBSTITUTE(SUBSTITUTE(L3," &amp; ","_")," ","_"))</formula1>
    </dataValidation>
    <dataValidation sqref="F3:F100" showDropDown="0" showInputMessage="0" showErrorMessage="0" allowBlank="1" type="list">
      <formula1>"Bank,Cash"</formula1>
    </dataValidation>
    <dataValidation sqref="N3:N100" showDropDown="0" showInputMessage="0" showErrorMessage="0" allowBlank="1" type="list">
      <formula1>"Bank,Cash"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2" customWidth="1" min="4" max="4"/>
    <col width="16" customWidth="1" min="5" max="5"/>
    <col width="14" customWidth="1" min="6" max="6"/>
    <col width="20" customWidth="1" min="7" max="7"/>
    <col width="12" customWidth="1" min="9" max="9"/>
    <col width="14" customWidth="1" min="10" max="10"/>
    <col width="12" customWidth="1" min="11" max="11"/>
    <col width="20" customWidth="1" min="12" max="12"/>
    <col width="20" customWidth="1" min="13" max="13"/>
    <col width="14" customWidth="1" min="14" max="14"/>
    <col width="20" customWidth="1" min="15" max="15"/>
  </cols>
  <sheetData>
    <row r="1">
      <c r="A1" s="1" t="inlineStr">
        <is>
          <t>Receipts</t>
        </is>
      </c>
      <c r="I1" s="1" t="inlineStr">
        <is>
          <t>Payments</t>
        </is>
      </c>
    </row>
    <row r="2">
      <c r="A2" s="2" t="inlineStr">
        <is>
          <t>SNO</t>
        </is>
      </c>
      <c r="B2" s="2" t="inlineStr">
        <is>
          <t>Date</t>
        </is>
      </c>
      <c r="C2" s="2" t="inlineStr">
        <is>
          <t>Receipts</t>
        </is>
      </c>
      <c r="D2" s="2" t="inlineStr">
        <is>
          <t>Amount</t>
        </is>
      </c>
      <c r="E2" s="2" t="inlineStr">
        <is>
          <t>Category</t>
        </is>
      </c>
      <c r="F2" s="2" t="inlineStr">
        <is>
          <t>Payment Mode</t>
        </is>
      </c>
      <c r="I2" s="3" t="inlineStr">
        <is>
          <t>Date</t>
        </is>
      </c>
      <c r="J2" s="3" t="inlineStr">
        <is>
          <t>Payments</t>
        </is>
      </c>
      <c r="K2" s="3" t="inlineStr">
        <is>
          <t>Amount</t>
        </is>
      </c>
      <c r="L2" s="3" t="inlineStr">
        <is>
          <t>Main Category</t>
        </is>
      </c>
      <c r="M2" s="3" t="inlineStr">
        <is>
          <t>Sub-Category</t>
        </is>
      </c>
      <c r="N2" s="3" t="inlineStr">
        <is>
          <t>Payment Mode</t>
        </is>
      </c>
      <c r="O2" s="3" t="inlineStr">
        <is>
          <t>Comments</t>
        </is>
      </c>
    </row>
    <row r="102">
      <c r="A102" s="1" t="inlineStr">
        <is>
          <t>Summary</t>
        </is>
      </c>
    </row>
    <row r="103">
      <c r="A103" s="6" t="inlineStr">
        <is>
          <t>Opening Balance</t>
        </is>
      </c>
      <c r="B103" s="7">
        <f>'Mar2026'!B106</f>
        <v/>
      </c>
    </row>
    <row r="104">
      <c r="A104" s="6" t="inlineStr">
        <is>
          <t>Total Receipts</t>
        </is>
      </c>
      <c r="B104" s="7">
        <f>SUM(D3:D100)</f>
        <v/>
      </c>
    </row>
    <row r="105">
      <c r="A105" s="6" t="inlineStr">
        <is>
          <t>Total Payments</t>
        </is>
      </c>
      <c r="B105" s="7">
        <f>SUM(K3:K100)</f>
        <v/>
      </c>
    </row>
    <row r="106">
      <c r="A106" s="6" t="inlineStr">
        <is>
          <t>Net / Closing Balance</t>
        </is>
      </c>
      <c r="B106" s="7">
        <f>B103+B104-B105</f>
        <v/>
      </c>
    </row>
  </sheetData>
  <dataValidations count="5">
    <dataValidation sqref="E3:E100" showDropDown="0" showInputMessage="0" showErrorMessage="0" allowBlank="1" type="list">
      <formula1>='Categories'!$A$3:$A$6</formula1>
    </dataValidation>
    <dataValidation sqref="L3:L100" showDropDown="0" showInputMessage="0" showErrorMessage="0" allowBlank="1" type="list">
      <formula1>='Categories'!$F$3:$F$12</formula1>
    </dataValidation>
    <dataValidation sqref="M3:M100" showDropDown="0" showInputMessage="0" showErrorMessage="0" allowBlank="1" errorTitle="Invalid Sub-Category" error="Select a Main Category first, or pick a value that matches its sub-category list." type="list">
      <formula1>INDIRECT("Cat_"&amp;SUBSTITUTE(SUBSTITUTE(L3," &amp; ","_")," ","_"))</formula1>
    </dataValidation>
    <dataValidation sqref="F3:F100" showDropDown="0" showInputMessage="0" showErrorMessage="0" allowBlank="1" type="list">
      <formula1>"Bank,Cash"</formula1>
    </dataValidation>
    <dataValidation sqref="N3:N100" showDropDown="0" showInputMessage="0" showErrorMessage="0" allowBlank="1" type="list">
      <formula1>"Bank,Cash"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2" customWidth="1" min="4" max="4"/>
    <col width="16" customWidth="1" min="5" max="5"/>
    <col width="14" customWidth="1" min="6" max="6"/>
    <col width="20" customWidth="1" min="7" max="7"/>
    <col width="12" customWidth="1" min="9" max="9"/>
    <col width="14" customWidth="1" min="10" max="10"/>
    <col width="12" customWidth="1" min="11" max="11"/>
    <col width="20" customWidth="1" min="12" max="12"/>
    <col width="20" customWidth="1" min="13" max="13"/>
    <col width="14" customWidth="1" min="14" max="14"/>
    <col width="20" customWidth="1" min="15" max="15"/>
  </cols>
  <sheetData>
    <row r="1">
      <c r="A1" s="1" t="inlineStr">
        <is>
          <t>Receipts</t>
        </is>
      </c>
      <c r="I1" s="1" t="inlineStr">
        <is>
          <t>Payments</t>
        </is>
      </c>
    </row>
    <row r="2">
      <c r="A2" s="2" t="inlineStr">
        <is>
          <t>SNO</t>
        </is>
      </c>
      <c r="B2" s="2" t="inlineStr">
        <is>
          <t>Date</t>
        </is>
      </c>
      <c r="C2" s="2" t="inlineStr">
        <is>
          <t>Receipts</t>
        </is>
      </c>
      <c r="D2" s="2" t="inlineStr">
        <is>
          <t>Amount</t>
        </is>
      </c>
      <c r="E2" s="2" t="inlineStr">
        <is>
          <t>Category</t>
        </is>
      </c>
      <c r="F2" s="2" t="inlineStr">
        <is>
          <t>Payment Mode</t>
        </is>
      </c>
      <c r="I2" s="3" t="inlineStr">
        <is>
          <t>Date</t>
        </is>
      </c>
      <c r="J2" s="3" t="inlineStr">
        <is>
          <t>Payments</t>
        </is>
      </c>
      <c r="K2" s="3" t="inlineStr">
        <is>
          <t>Amount</t>
        </is>
      </c>
      <c r="L2" s="3" t="inlineStr">
        <is>
          <t>Main Category</t>
        </is>
      </c>
      <c r="M2" s="3" t="inlineStr">
        <is>
          <t>Sub-Category</t>
        </is>
      </c>
      <c r="N2" s="3" t="inlineStr">
        <is>
          <t>Payment Mode</t>
        </is>
      </c>
      <c r="O2" s="3" t="inlineStr">
        <is>
          <t>Comments</t>
        </is>
      </c>
    </row>
    <row r="102">
      <c r="A102" s="1" t="inlineStr">
        <is>
          <t>Summary</t>
        </is>
      </c>
    </row>
    <row r="103">
      <c r="A103" s="6" t="inlineStr">
        <is>
          <t>Opening Balance</t>
        </is>
      </c>
      <c r="B103" s="7">
        <f>'Apr2026'!B106</f>
        <v/>
      </c>
    </row>
    <row r="104">
      <c r="A104" s="6" t="inlineStr">
        <is>
          <t>Total Receipts</t>
        </is>
      </c>
      <c r="B104" s="7">
        <f>SUM(D3:D100)</f>
        <v/>
      </c>
    </row>
    <row r="105">
      <c r="A105" s="6" t="inlineStr">
        <is>
          <t>Total Payments</t>
        </is>
      </c>
      <c r="B105" s="7">
        <f>SUM(K3:K100)</f>
        <v/>
      </c>
    </row>
    <row r="106">
      <c r="A106" s="6" t="inlineStr">
        <is>
          <t>Net / Closing Balance</t>
        </is>
      </c>
      <c r="B106" s="7">
        <f>B103+B104-B105</f>
        <v/>
      </c>
    </row>
  </sheetData>
  <dataValidations count="5">
    <dataValidation sqref="E3:E100" showDropDown="0" showInputMessage="0" showErrorMessage="0" allowBlank="1" type="list">
      <formula1>='Categories'!$A$3:$A$6</formula1>
    </dataValidation>
    <dataValidation sqref="L3:L100" showDropDown="0" showInputMessage="0" showErrorMessage="0" allowBlank="1" type="list">
      <formula1>='Categories'!$F$3:$F$12</formula1>
    </dataValidation>
    <dataValidation sqref="M3:M100" showDropDown="0" showInputMessage="0" showErrorMessage="0" allowBlank="1" errorTitle="Invalid Sub-Category" error="Select a Main Category first, or pick a value that matches its sub-category list." type="list">
      <formula1>INDIRECT("Cat_"&amp;SUBSTITUTE(SUBSTITUTE(L3," &amp; ","_")," ","_"))</formula1>
    </dataValidation>
    <dataValidation sqref="F3:F100" showDropDown="0" showInputMessage="0" showErrorMessage="0" allowBlank="1" type="list">
      <formula1>"Bank,Cash"</formula1>
    </dataValidation>
    <dataValidation sqref="N3:N100" showDropDown="0" showInputMessage="0" showErrorMessage="0" allowBlank="1" type="list">
      <formula1>"Bank,Cash"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2" customWidth="1" min="4" max="4"/>
    <col width="16" customWidth="1" min="5" max="5"/>
    <col width="14" customWidth="1" min="6" max="6"/>
    <col width="20" customWidth="1" min="7" max="7"/>
    <col width="12" customWidth="1" min="9" max="9"/>
    <col width="14" customWidth="1" min="10" max="10"/>
    <col width="12" customWidth="1" min="11" max="11"/>
    <col width="20" customWidth="1" min="12" max="12"/>
    <col width="20" customWidth="1" min="13" max="13"/>
    <col width="14" customWidth="1" min="14" max="14"/>
    <col width="20" customWidth="1" min="15" max="15"/>
  </cols>
  <sheetData>
    <row r="1">
      <c r="A1" s="1" t="inlineStr">
        <is>
          <t>Receipts</t>
        </is>
      </c>
      <c r="I1" s="1" t="inlineStr">
        <is>
          <t>Payments</t>
        </is>
      </c>
    </row>
    <row r="2">
      <c r="A2" s="2" t="inlineStr">
        <is>
          <t>SNO</t>
        </is>
      </c>
      <c r="B2" s="2" t="inlineStr">
        <is>
          <t>Date</t>
        </is>
      </c>
      <c r="C2" s="2" t="inlineStr">
        <is>
          <t>Receipts</t>
        </is>
      </c>
      <c r="D2" s="2" t="inlineStr">
        <is>
          <t>Amount</t>
        </is>
      </c>
      <c r="E2" s="2" t="inlineStr">
        <is>
          <t>Category</t>
        </is>
      </c>
      <c r="F2" s="2" t="inlineStr">
        <is>
          <t>Payment Mode</t>
        </is>
      </c>
      <c r="I2" s="3" t="inlineStr">
        <is>
          <t>Date</t>
        </is>
      </c>
      <c r="J2" s="3" t="inlineStr">
        <is>
          <t>Payments</t>
        </is>
      </c>
      <c r="K2" s="3" t="inlineStr">
        <is>
          <t>Amount</t>
        </is>
      </c>
      <c r="L2" s="3" t="inlineStr">
        <is>
          <t>Main Category</t>
        </is>
      </c>
      <c r="M2" s="3" t="inlineStr">
        <is>
          <t>Sub-Category</t>
        </is>
      </c>
      <c r="N2" s="3" t="inlineStr">
        <is>
          <t>Payment Mode</t>
        </is>
      </c>
      <c r="O2" s="3" t="inlineStr">
        <is>
          <t>Comments</t>
        </is>
      </c>
    </row>
    <row r="102">
      <c r="A102" s="1" t="inlineStr">
        <is>
          <t>Summary</t>
        </is>
      </c>
    </row>
    <row r="103">
      <c r="A103" s="6" t="inlineStr">
        <is>
          <t>Opening Balance</t>
        </is>
      </c>
      <c r="B103" s="7">
        <f>'May2026'!B106</f>
        <v/>
      </c>
    </row>
    <row r="104">
      <c r="A104" s="6" t="inlineStr">
        <is>
          <t>Total Receipts</t>
        </is>
      </c>
      <c r="B104" s="7">
        <f>SUM(D3:D100)</f>
        <v/>
      </c>
    </row>
    <row r="105">
      <c r="A105" s="6" t="inlineStr">
        <is>
          <t>Total Payments</t>
        </is>
      </c>
      <c r="B105" s="7">
        <f>SUM(K3:K100)</f>
        <v/>
      </c>
    </row>
    <row r="106">
      <c r="A106" s="6" t="inlineStr">
        <is>
          <t>Net / Closing Balance</t>
        </is>
      </c>
      <c r="B106" s="7">
        <f>B103+B104-B105</f>
        <v/>
      </c>
    </row>
  </sheetData>
  <dataValidations count="5">
    <dataValidation sqref="E3:E100" showDropDown="0" showInputMessage="0" showErrorMessage="0" allowBlank="1" type="list">
      <formula1>='Categories'!$A$3:$A$6</formula1>
    </dataValidation>
    <dataValidation sqref="L3:L100" showDropDown="0" showInputMessage="0" showErrorMessage="0" allowBlank="1" type="list">
      <formula1>='Categories'!$F$3:$F$12</formula1>
    </dataValidation>
    <dataValidation sqref="M3:M100" showDropDown="0" showInputMessage="0" showErrorMessage="0" allowBlank="1" errorTitle="Invalid Sub-Category" error="Select a Main Category first, or pick a value that matches its sub-category list." type="list">
      <formula1>INDIRECT("Cat_"&amp;SUBSTITUTE(SUBSTITUTE(L3," &amp; ","_")," ","_"))</formula1>
    </dataValidation>
    <dataValidation sqref="F3:F100" showDropDown="0" showInputMessage="0" showErrorMessage="0" allowBlank="1" type="list">
      <formula1>"Bank,Cash"</formula1>
    </dataValidation>
    <dataValidation sqref="N3:N100" showDropDown="0" showInputMessage="0" showErrorMessage="0" allowBlank="1" type="list">
      <formula1>"Bank,Cash"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2" customWidth="1" min="4" max="4"/>
    <col width="16" customWidth="1" min="5" max="5"/>
    <col width="14" customWidth="1" min="6" max="6"/>
    <col width="20" customWidth="1" min="7" max="7"/>
    <col width="12" customWidth="1" min="9" max="9"/>
    <col width="14" customWidth="1" min="10" max="10"/>
    <col width="12" customWidth="1" min="11" max="11"/>
    <col width="20" customWidth="1" min="12" max="12"/>
    <col width="20" customWidth="1" min="13" max="13"/>
    <col width="14" customWidth="1" min="14" max="14"/>
    <col width="20" customWidth="1" min="15" max="15"/>
  </cols>
  <sheetData>
    <row r="1">
      <c r="A1" s="1" t="inlineStr">
        <is>
          <t>Receipts</t>
        </is>
      </c>
      <c r="I1" s="1" t="inlineStr">
        <is>
          <t>Payments</t>
        </is>
      </c>
    </row>
    <row r="2">
      <c r="A2" s="2" t="inlineStr">
        <is>
          <t>SNO</t>
        </is>
      </c>
      <c r="B2" s="2" t="inlineStr">
        <is>
          <t>Date</t>
        </is>
      </c>
      <c r="C2" s="2" t="inlineStr">
        <is>
          <t>Receipts</t>
        </is>
      </c>
      <c r="D2" s="2" t="inlineStr">
        <is>
          <t>Amount</t>
        </is>
      </c>
      <c r="E2" s="2" t="inlineStr">
        <is>
          <t>Category</t>
        </is>
      </c>
      <c r="F2" s="2" t="inlineStr">
        <is>
          <t>Payment Mode</t>
        </is>
      </c>
      <c r="I2" s="3" t="inlineStr">
        <is>
          <t>Date</t>
        </is>
      </c>
      <c r="J2" s="3" t="inlineStr">
        <is>
          <t>Payments</t>
        </is>
      </c>
      <c r="K2" s="3" t="inlineStr">
        <is>
          <t>Amount</t>
        </is>
      </c>
      <c r="L2" s="3" t="inlineStr">
        <is>
          <t>Main Category</t>
        </is>
      </c>
      <c r="M2" s="3" t="inlineStr">
        <is>
          <t>Sub-Category</t>
        </is>
      </c>
      <c r="N2" s="3" t="inlineStr">
        <is>
          <t>Payment Mode</t>
        </is>
      </c>
      <c r="O2" s="3" t="inlineStr">
        <is>
          <t>Comments</t>
        </is>
      </c>
    </row>
    <row r="102">
      <c r="A102" s="1" t="inlineStr">
        <is>
          <t>Summary</t>
        </is>
      </c>
    </row>
    <row r="103">
      <c r="A103" s="6" t="inlineStr">
        <is>
          <t>Opening Balance</t>
        </is>
      </c>
      <c r="B103" s="7">
        <f>'Jun2026'!B106</f>
        <v/>
      </c>
    </row>
    <row r="104">
      <c r="A104" s="6" t="inlineStr">
        <is>
          <t>Total Receipts</t>
        </is>
      </c>
      <c r="B104" s="7">
        <f>SUM(D3:D100)</f>
        <v/>
      </c>
    </row>
    <row r="105">
      <c r="A105" s="6" t="inlineStr">
        <is>
          <t>Total Payments</t>
        </is>
      </c>
      <c r="B105" s="7">
        <f>SUM(K3:K100)</f>
        <v/>
      </c>
    </row>
    <row r="106">
      <c r="A106" s="6" t="inlineStr">
        <is>
          <t>Net / Closing Balance</t>
        </is>
      </c>
      <c r="B106" s="7">
        <f>B103+B104-B105</f>
        <v/>
      </c>
    </row>
  </sheetData>
  <dataValidations count="5">
    <dataValidation sqref="E3:E100" showDropDown="0" showInputMessage="0" showErrorMessage="0" allowBlank="1" type="list">
      <formula1>='Categories'!$A$3:$A$6</formula1>
    </dataValidation>
    <dataValidation sqref="L3:L100" showDropDown="0" showInputMessage="0" showErrorMessage="0" allowBlank="1" type="list">
      <formula1>='Categories'!$F$3:$F$12</formula1>
    </dataValidation>
    <dataValidation sqref="M3:M100" showDropDown="0" showInputMessage="0" showErrorMessage="0" allowBlank="1" errorTitle="Invalid Sub-Category" error="Select a Main Category first, or pick a value that matches its sub-category list." type="list">
      <formula1>INDIRECT("Cat_"&amp;SUBSTITUTE(SUBSTITUTE(L3," &amp; ","_")," ","_"))</formula1>
    </dataValidation>
    <dataValidation sqref="F3:F100" showDropDown="0" showInputMessage="0" showErrorMessage="0" allowBlank="1" type="list">
      <formula1>"Bank,Cash"</formula1>
    </dataValidation>
    <dataValidation sqref="N3:N100" showDropDown="0" showInputMessage="0" showErrorMessage="0" allowBlank="1" type="list">
      <formula1>"Bank,Cash"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2" customWidth="1" min="4" max="4"/>
    <col width="16" customWidth="1" min="5" max="5"/>
    <col width="14" customWidth="1" min="6" max="6"/>
    <col width="20" customWidth="1" min="7" max="7"/>
    <col width="12" customWidth="1" min="9" max="9"/>
    <col width="14" customWidth="1" min="10" max="10"/>
    <col width="12" customWidth="1" min="11" max="11"/>
    <col width="20" customWidth="1" min="12" max="12"/>
    <col width="20" customWidth="1" min="13" max="13"/>
    <col width="14" customWidth="1" min="14" max="14"/>
    <col width="20" customWidth="1" min="15" max="15"/>
  </cols>
  <sheetData>
    <row r="1">
      <c r="A1" s="1" t="inlineStr">
        <is>
          <t>Receipts</t>
        </is>
      </c>
      <c r="I1" s="1" t="inlineStr">
        <is>
          <t>Payments</t>
        </is>
      </c>
    </row>
    <row r="2">
      <c r="A2" s="2" t="inlineStr">
        <is>
          <t>SNO</t>
        </is>
      </c>
      <c r="B2" s="2" t="inlineStr">
        <is>
          <t>Date</t>
        </is>
      </c>
      <c r="C2" s="2" t="inlineStr">
        <is>
          <t>Receipts</t>
        </is>
      </c>
      <c r="D2" s="2" t="inlineStr">
        <is>
          <t>Amount</t>
        </is>
      </c>
      <c r="E2" s="2" t="inlineStr">
        <is>
          <t>Category</t>
        </is>
      </c>
      <c r="F2" s="2" t="inlineStr">
        <is>
          <t>Payment Mode</t>
        </is>
      </c>
      <c r="I2" s="3" t="inlineStr">
        <is>
          <t>Date</t>
        </is>
      </c>
      <c r="J2" s="3" t="inlineStr">
        <is>
          <t>Payments</t>
        </is>
      </c>
      <c r="K2" s="3" t="inlineStr">
        <is>
          <t>Amount</t>
        </is>
      </c>
      <c r="L2" s="3" t="inlineStr">
        <is>
          <t>Main Category</t>
        </is>
      </c>
      <c r="M2" s="3" t="inlineStr">
        <is>
          <t>Sub-Category</t>
        </is>
      </c>
      <c r="N2" s="3" t="inlineStr">
        <is>
          <t>Payment Mode</t>
        </is>
      </c>
      <c r="O2" s="3" t="inlineStr">
        <is>
          <t>Comments</t>
        </is>
      </c>
    </row>
    <row r="102">
      <c r="A102" s="1" t="inlineStr">
        <is>
          <t>Summary</t>
        </is>
      </c>
    </row>
    <row r="103">
      <c r="A103" s="6" t="inlineStr">
        <is>
          <t>Opening Balance</t>
        </is>
      </c>
      <c r="B103" s="7">
        <f>'Jul2026'!B106</f>
        <v/>
      </c>
    </row>
    <row r="104">
      <c r="A104" s="6" t="inlineStr">
        <is>
          <t>Total Receipts</t>
        </is>
      </c>
      <c r="B104" s="7">
        <f>SUM(D3:D100)</f>
        <v/>
      </c>
    </row>
    <row r="105">
      <c r="A105" s="6" t="inlineStr">
        <is>
          <t>Total Payments</t>
        </is>
      </c>
      <c r="B105" s="7">
        <f>SUM(K3:K100)</f>
        <v/>
      </c>
    </row>
    <row r="106">
      <c r="A106" s="6" t="inlineStr">
        <is>
          <t>Net / Closing Balance</t>
        </is>
      </c>
      <c r="B106" s="7">
        <f>B103+B104-B105</f>
        <v/>
      </c>
    </row>
  </sheetData>
  <dataValidations count="5">
    <dataValidation sqref="E3:E100" showDropDown="0" showInputMessage="0" showErrorMessage="0" allowBlank="1" type="list">
      <formula1>='Categories'!$A$3:$A$6</formula1>
    </dataValidation>
    <dataValidation sqref="L3:L100" showDropDown="0" showInputMessage="0" showErrorMessage="0" allowBlank="1" type="list">
      <formula1>='Categories'!$F$3:$F$12</formula1>
    </dataValidation>
    <dataValidation sqref="M3:M100" showDropDown="0" showInputMessage="0" showErrorMessage="0" allowBlank="1" errorTitle="Invalid Sub-Category" error="Select a Main Category first, or pick a value that matches its sub-category list." type="list">
      <formula1>INDIRECT("Cat_"&amp;SUBSTITUTE(SUBSTITUTE(L3," &amp; ","_")," ","_"))</formula1>
    </dataValidation>
    <dataValidation sqref="F3:F100" showDropDown="0" showInputMessage="0" showErrorMessage="0" allowBlank="1" type="list">
      <formula1>"Bank,Cash"</formula1>
    </dataValidation>
    <dataValidation sqref="N3:N100" showDropDown="0" showInputMessage="0" showErrorMessage="0" allowBlank="1" type="list">
      <formula1>"Bank,Cash"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2" customWidth="1" min="4" max="4"/>
    <col width="16" customWidth="1" min="5" max="5"/>
    <col width="14" customWidth="1" min="6" max="6"/>
    <col width="20" customWidth="1" min="7" max="7"/>
    <col width="12" customWidth="1" min="9" max="9"/>
    <col width="14" customWidth="1" min="10" max="10"/>
    <col width="12" customWidth="1" min="11" max="11"/>
    <col width="20" customWidth="1" min="12" max="12"/>
    <col width="20" customWidth="1" min="13" max="13"/>
    <col width="14" customWidth="1" min="14" max="14"/>
    <col width="20" customWidth="1" min="15" max="15"/>
  </cols>
  <sheetData>
    <row r="1">
      <c r="A1" s="1" t="inlineStr">
        <is>
          <t>Receipts</t>
        </is>
      </c>
      <c r="I1" s="1" t="inlineStr">
        <is>
          <t>Payments</t>
        </is>
      </c>
    </row>
    <row r="2">
      <c r="A2" s="2" t="inlineStr">
        <is>
          <t>SNO</t>
        </is>
      </c>
      <c r="B2" s="2" t="inlineStr">
        <is>
          <t>Date</t>
        </is>
      </c>
      <c r="C2" s="2" t="inlineStr">
        <is>
          <t>Receipts</t>
        </is>
      </c>
      <c r="D2" s="2" t="inlineStr">
        <is>
          <t>Amount</t>
        </is>
      </c>
      <c r="E2" s="2" t="inlineStr">
        <is>
          <t>Category</t>
        </is>
      </c>
      <c r="F2" s="2" t="inlineStr">
        <is>
          <t>Payment Mode</t>
        </is>
      </c>
      <c r="I2" s="3" t="inlineStr">
        <is>
          <t>Date</t>
        </is>
      </c>
      <c r="J2" s="3" t="inlineStr">
        <is>
          <t>Payments</t>
        </is>
      </c>
      <c r="K2" s="3" t="inlineStr">
        <is>
          <t>Amount</t>
        </is>
      </c>
      <c r="L2" s="3" t="inlineStr">
        <is>
          <t>Main Category</t>
        </is>
      </c>
      <c r="M2" s="3" t="inlineStr">
        <is>
          <t>Sub-Category</t>
        </is>
      </c>
      <c r="N2" s="3" t="inlineStr">
        <is>
          <t>Payment Mode</t>
        </is>
      </c>
      <c r="O2" s="3" t="inlineStr">
        <is>
          <t>Comments</t>
        </is>
      </c>
    </row>
    <row r="102">
      <c r="A102" s="1" t="inlineStr">
        <is>
          <t>Summary</t>
        </is>
      </c>
    </row>
    <row r="103">
      <c r="A103" s="6" t="inlineStr">
        <is>
          <t>Opening Balance</t>
        </is>
      </c>
      <c r="B103" s="7">
        <f>'Aug2026'!B106</f>
        <v/>
      </c>
    </row>
    <row r="104">
      <c r="A104" s="6" t="inlineStr">
        <is>
          <t>Total Receipts</t>
        </is>
      </c>
      <c r="B104" s="7">
        <f>SUM(D3:D100)</f>
        <v/>
      </c>
    </row>
    <row r="105">
      <c r="A105" s="6" t="inlineStr">
        <is>
          <t>Total Payments</t>
        </is>
      </c>
      <c r="B105" s="7">
        <f>SUM(K3:K100)</f>
        <v/>
      </c>
    </row>
    <row r="106">
      <c r="A106" s="6" t="inlineStr">
        <is>
          <t>Net / Closing Balance</t>
        </is>
      </c>
      <c r="B106" s="7">
        <f>B103+B104-B105</f>
        <v/>
      </c>
    </row>
  </sheetData>
  <dataValidations count="5">
    <dataValidation sqref="E3:E100" showDropDown="0" showInputMessage="0" showErrorMessage="0" allowBlank="1" type="list">
      <formula1>='Categories'!$A$3:$A$6</formula1>
    </dataValidation>
    <dataValidation sqref="L3:L100" showDropDown="0" showInputMessage="0" showErrorMessage="0" allowBlank="1" type="list">
      <formula1>='Categories'!$F$3:$F$12</formula1>
    </dataValidation>
    <dataValidation sqref="M3:M100" showDropDown="0" showInputMessage="0" showErrorMessage="0" allowBlank="1" errorTitle="Invalid Sub-Category" error="Select a Main Category first, or pick a value that matches its sub-category list." type="list">
      <formula1>INDIRECT("Cat_"&amp;SUBSTITUTE(SUBSTITUTE(L3," &amp; ","_")," ","_"))</formula1>
    </dataValidation>
    <dataValidation sqref="F3:F100" showDropDown="0" showInputMessage="0" showErrorMessage="0" allowBlank="1" type="list">
      <formula1>"Bank,Cash"</formula1>
    </dataValidation>
    <dataValidation sqref="N3:N100" showDropDown="0" showInputMessage="0" showErrorMessage="0" allowBlank="1" type="list">
      <formula1>"Bank,Cash"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2" customWidth="1" min="4" max="4"/>
    <col width="16" customWidth="1" min="5" max="5"/>
    <col width="14" customWidth="1" min="6" max="6"/>
    <col width="20" customWidth="1" min="7" max="7"/>
    <col width="12" customWidth="1" min="9" max="9"/>
    <col width="14" customWidth="1" min="10" max="10"/>
    <col width="12" customWidth="1" min="11" max="11"/>
    <col width="20" customWidth="1" min="12" max="12"/>
    <col width="20" customWidth="1" min="13" max="13"/>
    <col width="14" customWidth="1" min="14" max="14"/>
    <col width="20" customWidth="1" min="15" max="15"/>
  </cols>
  <sheetData>
    <row r="1">
      <c r="A1" s="1" t="inlineStr">
        <is>
          <t>Receipts</t>
        </is>
      </c>
      <c r="I1" s="1" t="inlineStr">
        <is>
          <t>Payments</t>
        </is>
      </c>
    </row>
    <row r="2">
      <c r="A2" s="2" t="inlineStr">
        <is>
          <t>SNO</t>
        </is>
      </c>
      <c r="B2" s="2" t="inlineStr">
        <is>
          <t>Date</t>
        </is>
      </c>
      <c r="C2" s="2" t="inlineStr">
        <is>
          <t>Receipts</t>
        </is>
      </c>
      <c r="D2" s="2" t="inlineStr">
        <is>
          <t>Amount</t>
        </is>
      </c>
      <c r="E2" s="2" t="inlineStr">
        <is>
          <t>Category</t>
        </is>
      </c>
      <c r="F2" s="2" t="inlineStr">
        <is>
          <t>Payment Mode</t>
        </is>
      </c>
      <c r="I2" s="3" t="inlineStr">
        <is>
          <t>Date</t>
        </is>
      </c>
      <c r="J2" s="3" t="inlineStr">
        <is>
          <t>Payments</t>
        </is>
      </c>
      <c r="K2" s="3" t="inlineStr">
        <is>
          <t>Amount</t>
        </is>
      </c>
      <c r="L2" s="3" t="inlineStr">
        <is>
          <t>Main Category</t>
        </is>
      </c>
      <c r="M2" s="3" t="inlineStr">
        <is>
          <t>Sub-Category</t>
        </is>
      </c>
      <c r="N2" s="3" t="inlineStr">
        <is>
          <t>Payment Mode</t>
        </is>
      </c>
      <c r="O2" s="3" t="inlineStr">
        <is>
          <t>Comments</t>
        </is>
      </c>
    </row>
    <row r="102">
      <c r="A102" s="1" t="inlineStr">
        <is>
          <t>Summary</t>
        </is>
      </c>
    </row>
    <row r="103">
      <c r="A103" s="6" t="inlineStr">
        <is>
          <t>Opening Balance</t>
        </is>
      </c>
      <c r="B103" s="7">
        <f>'Sep2026'!B106</f>
        <v/>
      </c>
    </row>
    <row r="104">
      <c r="A104" s="6" t="inlineStr">
        <is>
          <t>Total Receipts</t>
        </is>
      </c>
      <c r="B104" s="7">
        <f>SUM(D3:D100)</f>
        <v/>
      </c>
    </row>
    <row r="105">
      <c r="A105" s="6" t="inlineStr">
        <is>
          <t>Total Payments</t>
        </is>
      </c>
      <c r="B105" s="7">
        <f>SUM(K3:K100)</f>
        <v/>
      </c>
    </row>
    <row r="106">
      <c r="A106" s="6" t="inlineStr">
        <is>
          <t>Net / Closing Balance</t>
        </is>
      </c>
      <c r="B106" s="7">
        <f>B103+B104-B105</f>
        <v/>
      </c>
    </row>
  </sheetData>
  <dataValidations count="5">
    <dataValidation sqref="E3:E100" showDropDown="0" showInputMessage="0" showErrorMessage="0" allowBlank="1" type="list">
      <formula1>='Categories'!$A$3:$A$6</formula1>
    </dataValidation>
    <dataValidation sqref="L3:L100" showDropDown="0" showInputMessage="0" showErrorMessage="0" allowBlank="1" type="list">
      <formula1>='Categories'!$F$3:$F$12</formula1>
    </dataValidation>
    <dataValidation sqref="M3:M100" showDropDown="0" showInputMessage="0" showErrorMessage="0" allowBlank="1" errorTitle="Invalid Sub-Category" error="Select a Main Category first, or pick a value that matches its sub-category list." type="list">
      <formula1>INDIRECT("Cat_"&amp;SUBSTITUTE(SUBSTITUTE(L3," &amp; ","_")," ","_"))</formula1>
    </dataValidation>
    <dataValidation sqref="F3:F100" showDropDown="0" showInputMessage="0" showErrorMessage="0" allowBlank="1" type="list">
      <formula1>"Bank,Cash"</formula1>
    </dataValidation>
    <dataValidation sqref="N3:N100" showDropDown="0" showInputMessage="0" showErrorMessage="0" allowBlank="1" type="list">
      <formula1>"Bank,Cash"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2" customWidth="1" min="4" max="4"/>
    <col width="16" customWidth="1" min="5" max="5"/>
    <col width="14" customWidth="1" min="6" max="6"/>
    <col width="20" customWidth="1" min="7" max="7"/>
    <col width="12" customWidth="1" min="9" max="9"/>
    <col width="14" customWidth="1" min="10" max="10"/>
    <col width="12" customWidth="1" min="11" max="11"/>
    <col width="20" customWidth="1" min="12" max="12"/>
    <col width="20" customWidth="1" min="13" max="13"/>
    <col width="14" customWidth="1" min="14" max="14"/>
    <col width="20" customWidth="1" min="15" max="15"/>
  </cols>
  <sheetData>
    <row r="1">
      <c r="A1" s="1" t="inlineStr">
        <is>
          <t>Receipts</t>
        </is>
      </c>
      <c r="I1" s="1" t="inlineStr">
        <is>
          <t>Payments</t>
        </is>
      </c>
    </row>
    <row r="2">
      <c r="A2" s="2" t="inlineStr">
        <is>
          <t>SNO</t>
        </is>
      </c>
      <c r="B2" s="2" t="inlineStr">
        <is>
          <t>Date</t>
        </is>
      </c>
      <c r="C2" s="2" t="inlineStr">
        <is>
          <t>Receipts</t>
        </is>
      </c>
      <c r="D2" s="2" t="inlineStr">
        <is>
          <t>Amount</t>
        </is>
      </c>
      <c r="E2" s="2" t="inlineStr">
        <is>
          <t>Category</t>
        </is>
      </c>
      <c r="F2" s="2" t="inlineStr">
        <is>
          <t>Payment Mode</t>
        </is>
      </c>
      <c r="I2" s="3" t="inlineStr">
        <is>
          <t>Date</t>
        </is>
      </c>
      <c r="J2" s="3" t="inlineStr">
        <is>
          <t>Payments</t>
        </is>
      </c>
      <c r="K2" s="3" t="inlineStr">
        <is>
          <t>Amount</t>
        </is>
      </c>
      <c r="L2" s="3" t="inlineStr">
        <is>
          <t>Main Category</t>
        </is>
      </c>
      <c r="M2" s="3" t="inlineStr">
        <is>
          <t>Sub-Category</t>
        </is>
      </c>
      <c r="N2" s="3" t="inlineStr">
        <is>
          <t>Payment Mode</t>
        </is>
      </c>
      <c r="O2" s="3" t="inlineStr">
        <is>
          <t>Comments</t>
        </is>
      </c>
    </row>
    <row r="102">
      <c r="A102" s="1" t="inlineStr">
        <is>
          <t>Summary</t>
        </is>
      </c>
    </row>
    <row r="103">
      <c r="A103" s="6" t="inlineStr">
        <is>
          <t>Opening Balance</t>
        </is>
      </c>
      <c r="B103" s="7">
        <f>'Oct2026'!B106</f>
        <v/>
      </c>
    </row>
    <row r="104">
      <c r="A104" s="6" t="inlineStr">
        <is>
          <t>Total Receipts</t>
        </is>
      </c>
      <c r="B104" s="7">
        <f>SUM(D3:D100)</f>
        <v/>
      </c>
    </row>
    <row r="105">
      <c r="A105" s="6" t="inlineStr">
        <is>
          <t>Total Payments</t>
        </is>
      </c>
      <c r="B105" s="7">
        <f>SUM(K3:K100)</f>
        <v/>
      </c>
    </row>
    <row r="106">
      <c r="A106" s="6" t="inlineStr">
        <is>
          <t>Net / Closing Balance</t>
        </is>
      </c>
      <c r="B106" s="7">
        <f>B103+B104-B105</f>
        <v/>
      </c>
    </row>
  </sheetData>
  <dataValidations count="5">
    <dataValidation sqref="E3:E100" showDropDown="0" showInputMessage="0" showErrorMessage="0" allowBlank="1" type="list">
      <formula1>='Categories'!$A$3:$A$6</formula1>
    </dataValidation>
    <dataValidation sqref="L3:L100" showDropDown="0" showInputMessage="0" showErrorMessage="0" allowBlank="1" type="list">
      <formula1>='Categories'!$F$3:$F$12</formula1>
    </dataValidation>
    <dataValidation sqref="M3:M100" showDropDown="0" showInputMessage="0" showErrorMessage="0" allowBlank="1" errorTitle="Invalid Sub-Category" error="Select a Main Category first, or pick a value that matches its sub-category list." type="list">
      <formula1>INDIRECT("Cat_"&amp;SUBSTITUTE(SUBSTITUTE(L3," &amp; ","_")," ","_"))</formula1>
    </dataValidation>
    <dataValidation sqref="F3:F100" showDropDown="0" showInputMessage="0" showErrorMessage="0" allowBlank="1" type="list">
      <formula1>"Bank,Cash"</formula1>
    </dataValidation>
    <dataValidation sqref="N3:N100" showDropDown="0" showInputMessage="0" showErrorMessage="0" allowBlank="1" type="list">
      <formula1>"Bank,Cash"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2" customWidth="1" min="4" max="4"/>
    <col width="16" customWidth="1" min="5" max="5"/>
    <col width="14" customWidth="1" min="6" max="6"/>
    <col width="20" customWidth="1" min="7" max="7"/>
    <col width="12" customWidth="1" min="9" max="9"/>
    <col width="14" customWidth="1" min="10" max="10"/>
    <col width="12" customWidth="1" min="11" max="11"/>
    <col width="20" customWidth="1" min="12" max="12"/>
    <col width="20" customWidth="1" min="13" max="13"/>
    <col width="14" customWidth="1" min="14" max="14"/>
    <col width="20" customWidth="1" min="15" max="15"/>
  </cols>
  <sheetData>
    <row r="1">
      <c r="A1" s="1" t="inlineStr">
        <is>
          <t>Receipts</t>
        </is>
      </c>
      <c r="I1" s="1" t="inlineStr">
        <is>
          <t>Payments</t>
        </is>
      </c>
    </row>
    <row r="2">
      <c r="A2" s="2" t="inlineStr">
        <is>
          <t>SNO</t>
        </is>
      </c>
      <c r="B2" s="2" t="inlineStr">
        <is>
          <t>Date</t>
        </is>
      </c>
      <c r="C2" s="2" t="inlineStr">
        <is>
          <t>Receipts</t>
        </is>
      </c>
      <c r="D2" s="2" t="inlineStr">
        <is>
          <t>Amount</t>
        </is>
      </c>
      <c r="E2" s="2" t="inlineStr">
        <is>
          <t>Category</t>
        </is>
      </c>
      <c r="F2" s="2" t="inlineStr">
        <is>
          <t>Payment Mode</t>
        </is>
      </c>
      <c r="I2" s="3" t="inlineStr">
        <is>
          <t>Date</t>
        </is>
      </c>
      <c r="J2" s="3" t="inlineStr">
        <is>
          <t>Payments</t>
        </is>
      </c>
      <c r="K2" s="3" t="inlineStr">
        <is>
          <t>Amount</t>
        </is>
      </c>
      <c r="L2" s="3" t="inlineStr">
        <is>
          <t>Main Category</t>
        </is>
      </c>
      <c r="M2" s="3" t="inlineStr">
        <is>
          <t>Sub-Category</t>
        </is>
      </c>
      <c r="N2" s="3" t="inlineStr">
        <is>
          <t>Payment Mode</t>
        </is>
      </c>
      <c r="O2" s="3" t="inlineStr">
        <is>
          <t>Comments</t>
        </is>
      </c>
    </row>
    <row r="102">
      <c r="A102" s="1" t="inlineStr">
        <is>
          <t>Summary</t>
        </is>
      </c>
    </row>
    <row r="103">
      <c r="A103" s="6" t="inlineStr">
        <is>
          <t>Opening Balance</t>
        </is>
      </c>
      <c r="B103" s="7">
        <f>'Nov2026'!B106</f>
        <v/>
      </c>
    </row>
    <row r="104">
      <c r="A104" s="6" t="inlineStr">
        <is>
          <t>Total Receipts</t>
        </is>
      </c>
      <c r="B104" s="7">
        <f>SUM(D3:D100)</f>
        <v/>
      </c>
    </row>
    <row r="105">
      <c r="A105" s="6" t="inlineStr">
        <is>
          <t>Total Payments</t>
        </is>
      </c>
      <c r="B105" s="7">
        <f>SUM(K3:K100)</f>
        <v/>
      </c>
    </row>
    <row r="106">
      <c r="A106" s="6" t="inlineStr">
        <is>
          <t>Net / Closing Balance</t>
        </is>
      </c>
      <c r="B106" s="7">
        <f>B103+B104-B105</f>
        <v/>
      </c>
    </row>
  </sheetData>
  <dataValidations count="5">
    <dataValidation sqref="E3:E100" showDropDown="0" showInputMessage="0" showErrorMessage="0" allowBlank="1" type="list">
      <formula1>='Categories'!$A$3:$A$6</formula1>
    </dataValidation>
    <dataValidation sqref="L3:L100" showDropDown="0" showInputMessage="0" showErrorMessage="0" allowBlank="1" type="list">
      <formula1>='Categories'!$F$3:$F$12</formula1>
    </dataValidation>
    <dataValidation sqref="M3:M100" showDropDown="0" showInputMessage="0" showErrorMessage="0" allowBlank="1" errorTitle="Invalid Sub-Category" error="Select a Main Category first, or pick a value that matches its sub-category list." type="list">
      <formula1>INDIRECT("Cat_"&amp;SUBSTITUTE(SUBSTITUTE(L3," &amp; ","_")," ","_"))</formula1>
    </dataValidation>
    <dataValidation sqref="F3:F100" showDropDown="0" showInputMessage="0" showErrorMessage="0" allowBlank="1" type="list">
      <formula1>"Bank,Cash"</formula1>
    </dataValidation>
    <dataValidation sqref="N3:N100" showDropDown="0" showInputMessage="0" showErrorMessage="0" allowBlank="1" type="list">
      <formula1>"Bank,Cash"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3" max="3"/>
    <col width="24" customWidth="1" min="4" max="4"/>
    <col width="22" customWidth="1" min="6" max="6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Income Categories</t>
        </is>
      </c>
      <c r="C1" s="1" t="inlineStr">
        <is>
          <t>Main Category / Sub-category Reference</t>
        </is>
      </c>
      <c r="F1" s="1" t="inlineStr">
        <is>
          <t>Unique Main Categories</t>
        </is>
      </c>
      <c r="H1" s="1" t="inlineStr">
        <is>
          <t>Sub-categories by Main Category</t>
        </is>
      </c>
    </row>
    <row r="2">
      <c r="A2" s="4" t="inlineStr">
        <is>
          <t>Income Categories</t>
        </is>
      </c>
      <c r="C2" s="4" t="inlineStr">
        <is>
          <t>Main Category</t>
        </is>
      </c>
      <c r="D2" s="4" t="inlineStr">
        <is>
          <t>Sub-category</t>
        </is>
      </c>
      <c r="F2" s="4" t="inlineStr">
        <is>
          <t>Unique Main Categories</t>
        </is>
      </c>
      <c r="H2" s="4" t="inlineStr">
        <is>
          <t>Land &amp; Legal</t>
        </is>
      </c>
      <c r="I2" s="4" t="inlineStr">
        <is>
          <t>Site Development</t>
        </is>
      </c>
      <c r="J2" s="4" t="inlineStr">
        <is>
          <t>Utilities</t>
        </is>
      </c>
      <c r="K2" s="4" t="inlineStr">
        <is>
          <t>Landscaping</t>
        </is>
      </c>
      <c r="L2" s="4" t="inlineStr">
        <is>
          <t>Buildings &amp; Amenities</t>
        </is>
      </c>
      <c r="M2" s="4" t="inlineStr">
        <is>
          <t>Labour &amp; Contractors</t>
        </is>
      </c>
      <c r="N2" s="4" t="inlineStr">
        <is>
          <t>Materials</t>
        </is>
      </c>
      <c r="O2" s="4" t="inlineStr">
        <is>
          <t>Operations</t>
        </is>
      </c>
      <c r="P2" s="4" t="inlineStr">
        <is>
          <t>Marketing &amp; Sales</t>
        </is>
      </c>
      <c r="Q2" s="4" t="inlineStr">
        <is>
          <t>Miscellaneous</t>
        </is>
      </c>
    </row>
    <row r="3">
      <c r="A3" s="5" t="inlineStr">
        <is>
          <t>Investor Capital</t>
        </is>
      </c>
      <c r="C3" s="5" t="inlineStr">
        <is>
          <t>Land &amp; Legal</t>
        </is>
      </c>
      <c r="D3" s="5" t="inlineStr">
        <is>
          <t>Land Purchase</t>
        </is>
      </c>
      <c r="F3" s="5" t="inlineStr">
        <is>
          <t>Land &amp; Legal</t>
        </is>
      </c>
      <c r="H3" s="5" t="inlineStr">
        <is>
          <t>Land Purchase</t>
        </is>
      </c>
      <c r="I3" s="5" t="inlineStr">
        <is>
          <t>Land Clearing</t>
        </is>
      </c>
      <c r="J3" s="5" t="inlineStr">
        <is>
          <t>Borewell</t>
        </is>
      </c>
      <c r="K3" s="5" t="inlineStr">
        <is>
          <t>Plantation</t>
        </is>
      </c>
      <c r="L3" s="5" t="inlineStr">
        <is>
          <t>Security Room</t>
        </is>
      </c>
      <c r="M3" s="5" t="inlineStr">
        <is>
          <t>Labour Wages</t>
        </is>
      </c>
      <c r="N3" s="5" t="inlineStr">
        <is>
          <t>Cement</t>
        </is>
      </c>
      <c r="O3" s="5" t="inlineStr">
        <is>
          <t>Security</t>
        </is>
      </c>
      <c r="P3" s="5" t="inlineStr">
        <is>
          <t>Advertisement</t>
        </is>
      </c>
      <c r="Q3" s="5" t="inlineStr">
        <is>
          <t>Travel Expenses</t>
        </is>
      </c>
    </row>
    <row r="4">
      <c r="A4" s="5" t="inlineStr">
        <is>
          <t>Partner Contribution</t>
        </is>
      </c>
      <c r="C4" s="5" t="inlineStr">
        <is>
          <t>Land &amp; Legal</t>
        </is>
      </c>
      <c r="D4" s="5" t="inlineStr">
        <is>
          <t>Advance Payments</t>
        </is>
      </c>
      <c r="F4" s="5" t="inlineStr">
        <is>
          <t>Site Development</t>
        </is>
      </c>
      <c r="H4" s="5" t="inlineStr">
        <is>
          <t>Advance Payments</t>
        </is>
      </c>
      <c r="I4" s="5" t="inlineStr">
        <is>
          <t>Earthwork &amp; Levelling</t>
        </is>
      </c>
      <c r="J4" s="5" t="inlineStr">
        <is>
          <t>Water Pipelines</t>
        </is>
      </c>
      <c r="K4" s="5" t="inlineStr">
        <is>
          <t>Miyawaki Forest</t>
        </is>
      </c>
      <c r="L4" s="5" t="inlineStr">
        <is>
          <t>Site Office</t>
        </is>
      </c>
      <c r="M4" s="5" t="inlineStr">
        <is>
          <t>Contractor Payments</t>
        </is>
      </c>
      <c r="N4" s="5" t="inlineStr">
        <is>
          <t>Sand</t>
        </is>
      </c>
      <c r="O4" s="5" t="inlineStr">
        <is>
          <t>Housekeeping</t>
        </is>
      </c>
      <c r="P4" s="5" t="inlineStr">
        <is>
          <t>Flex Boards</t>
        </is>
      </c>
      <c r="Q4" s="5" t="inlineStr">
        <is>
          <t>Food &amp; Refreshments</t>
        </is>
      </c>
    </row>
    <row r="5">
      <c r="A5" s="5" t="inlineStr">
        <is>
          <t>Loan Received</t>
        </is>
      </c>
      <c r="C5" s="5" t="inlineStr">
        <is>
          <t>Land &amp; Legal</t>
        </is>
      </c>
      <c r="D5" s="5" t="inlineStr">
        <is>
          <t>Registration Charges</t>
        </is>
      </c>
      <c r="F5" s="5" t="inlineStr">
        <is>
          <t>Utilities</t>
        </is>
      </c>
      <c r="H5" s="5" t="inlineStr">
        <is>
          <t>Registration Charges</t>
        </is>
      </c>
      <c r="I5" s="5" t="inlineStr">
        <is>
          <t>Road Formation</t>
        </is>
      </c>
      <c r="J5" s="5" t="inlineStr">
        <is>
          <t>Water Tank</t>
        </is>
      </c>
      <c r="K5" s="5" t="inlineStr">
        <is>
          <t>Lawn Development</t>
        </is>
      </c>
      <c r="L5" s="5" t="inlineStr">
        <is>
          <t>Clubhouse</t>
        </is>
      </c>
      <c r="M5" s="5" t="inlineStr">
        <is>
          <t>Machinery Hire</t>
        </is>
      </c>
      <c r="N5" s="5" t="inlineStr">
        <is>
          <t>Metal</t>
        </is>
      </c>
      <c r="O5" s="5" t="inlineStr">
        <is>
          <t>Fuel &amp; Diesel</t>
        </is>
      </c>
      <c r="P5" s="5" t="inlineStr">
        <is>
          <t>Brochures</t>
        </is>
      </c>
      <c r="Q5" s="5" t="inlineStr">
        <is>
          <t>Government Fees</t>
        </is>
      </c>
    </row>
    <row r="6">
      <c r="A6" s="5" t="inlineStr">
        <is>
          <t>Sales</t>
        </is>
      </c>
      <c r="C6" s="5" t="inlineStr">
        <is>
          <t>Land &amp; Legal</t>
        </is>
      </c>
      <c r="D6" s="5" t="inlineStr">
        <is>
          <t>Stamp Duty</t>
        </is>
      </c>
      <c r="F6" s="5" t="inlineStr">
        <is>
          <t>Landscaping</t>
        </is>
      </c>
      <c r="H6" s="5" t="inlineStr">
        <is>
          <t>Stamp Duty</t>
        </is>
      </c>
      <c r="I6" s="5" t="inlineStr">
        <is>
          <t>Blacktop Roads</t>
        </is>
      </c>
      <c r="J6" s="5" t="inlineStr">
        <is>
          <t>Electricity Connection</t>
        </is>
      </c>
      <c r="K6" s="5" t="inlineStr">
        <is>
          <t>Irrigation/Drip System</t>
        </is>
      </c>
      <c r="L6" s="5" t="inlineStr">
        <is>
          <t>Swimming Pool</t>
        </is>
      </c>
      <c r="M6" s="5" t="inlineStr">
        <is>
          <t>Excavator/JCB</t>
        </is>
      </c>
      <c r="N6" s="5" t="inlineStr">
        <is>
          <t>Bricks</t>
        </is>
      </c>
      <c r="O6" s="5" t="inlineStr">
        <is>
          <t>Vehicle Expenses</t>
        </is>
      </c>
      <c r="P6" s="5" t="inlineStr">
        <is>
          <t>Events</t>
        </is>
      </c>
      <c r="Q6" s="5" t="inlineStr">
        <is>
          <t>Bank Charges</t>
        </is>
      </c>
    </row>
    <row r="7">
      <c r="C7" s="5" t="inlineStr">
        <is>
          <t>Land &amp; Legal</t>
        </is>
      </c>
      <c r="D7" s="5" t="inlineStr">
        <is>
          <t>Legal Fees</t>
        </is>
      </c>
      <c r="F7" s="5" t="inlineStr">
        <is>
          <t>Buildings &amp; Amenities</t>
        </is>
      </c>
      <c r="H7" s="5" t="inlineStr">
        <is>
          <t>Legal Fees</t>
        </is>
      </c>
      <c r="I7" s="5" t="inlineStr">
        <is>
          <t>Interlocking Pavers</t>
        </is>
      </c>
      <c r="J7" s="5" t="inlineStr">
        <is>
          <t>Transformer</t>
        </is>
      </c>
      <c r="K7" s="5" t="inlineStr">
        <is>
          <t>Garden Maintenance</t>
        </is>
      </c>
      <c r="L7" s="5" t="inlineStr">
        <is>
          <t>Gazebo</t>
        </is>
      </c>
      <c r="M7" s="5" t="inlineStr">
        <is>
          <t>Tractor &amp; Transport</t>
        </is>
      </c>
      <c r="N7" s="5" t="inlineStr">
        <is>
          <t>Steel</t>
        </is>
      </c>
      <c r="O7" s="5" t="inlineStr">
        <is>
          <t>Repairs &amp; Maintenance</t>
        </is>
      </c>
      <c r="P7" s="5" t="inlineStr">
        <is>
          <t>Photography &amp; Drone</t>
        </is>
      </c>
      <c r="Q7" s="5" t="inlineStr">
        <is>
          <t>Miscellaneous Expenses</t>
        </is>
      </c>
    </row>
    <row r="8">
      <c r="C8" s="5" t="inlineStr">
        <is>
          <t>Land &amp; Legal</t>
        </is>
      </c>
      <c r="D8" s="5" t="inlineStr">
        <is>
          <t>Survey Charges</t>
        </is>
      </c>
      <c r="F8" s="5" t="inlineStr">
        <is>
          <t>Labour &amp; Contractors</t>
        </is>
      </c>
      <c r="H8" s="5" t="inlineStr">
        <is>
          <t>Survey Charges</t>
        </is>
      </c>
      <c r="I8" s="5" t="inlineStr">
        <is>
          <t>Compound Wall</t>
        </is>
      </c>
      <c r="J8" s="5" t="inlineStr">
        <is>
          <t>Street Lights</t>
        </is>
      </c>
      <c r="L8" s="5" t="inlineStr">
        <is>
          <t>Children's Play Area</t>
        </is>
      </c>
      <c r="N8" s="5" t="inlineStr">
        <is>
          <t>Pipes</t>
        </is>
      </c>
      <c r="O8" s="5" t="inlineStr">
        <is>
          <t>Office Expenses</t>
        </is>
      </c>
      <c r="P8" s="5" t="inlineStr">
        <is>
          <t>Digital Marketing</t>
        </is>
      </c>
    </row>
    <row r="9">
      <c r="C9" s="5" t="inlineStr">
        <is>
          <t>Land &amp; Legal</t>
        </is>
      </c>
      <c r="D9" s="5" t="inlineStr">
        <is>
          <t>Documentation</t>
        </is>
      </c>
      <c r="F9" s="5" t="inlineStr">
        <is>
          <t>Materials</t>
        </is>
      </c>
      <c r="H9" s="5" t="inlineStr">
        <is>
          <t>Documentation</t>
        </is>
      </c>
      <c r="I9" s="5" t="inlineStr">
        <is>
          <t>Entrance Gate</t>
        </is>
      </c>
      <c r="J9" s="5" t="inlineStr">
        <is>
          <t>Generator</t>
        </is>
      </c>
      <c r="L9" s="5" t="inlineStr">
        <is>
          <t>Sports Courts</t>
        </is>
      </c>
      <c r="N9" s="5" t="inlineStr">
        <is>
          <t>Electrical Materials</t>
        </is>
      </c>
      <c r="O9" s="5" t="inlineStr">
        <is>
          <t>Internet &amp; Phone</t>
        </is>
      </c>
    </row>
    <row r="10">
      <c r="C10" s="5" t="inlineStr">
        <is>
          <t>Site Development</t>
        </is>
      </c>
      <c r="D10" s="5" t="inlineStr">
        <is>
          <t>Land Clearing</t>
        </is>
      </c>
      <c r="F10" s="5" t="inlineStr">
        <is>
          <t>Operations</t>
        </is>
      </c>
      <c r="I10" s="5" t="inlineStr">
        <is>
          <t>Drainage</t>
        </is>
      </c>
      <c r="L10" s="5" t="inlineStr">
        <is>
          <t>Toilets</t>
        </is>
      </c>
      <c r="N10" s="5" t="inlineStr">
        <is>
          <t>Paint</t>
        </is>
      </c>
    </row>
    <row r="11">
      <c r="C11" s="5" t="inlineStr">
        <is>
          <t>Site Development</t>
        </is>
      </c>
      <c r="D11" s="5" t="inlineStr">
        <is>
          <t>Earthwork &amp; Levelling</t>
        </is>
      </c>
      <c r="F11" s="5" t="inlineStr">
        <is>
          <t>Marketing &amp; Sales</t>
        </is>
      </c>
      <c r="I11" s="5" t="inlineStr">
        <is>
          <t>Culverts</t>
        </is>
      </c>
      <c r="N11" s="5" t="inlineStr">
        <is>
          <t>Tiles</t>
        </is>
      </c>
    </row>
    <row r="12">
      <c r="C12" s="5" t="inlineStr">
        <is>
          <t>Site Development</t>
        </is>
      </c>
      <c r="D12" s="5" t="inlineStr">
        <is>
          <t>Road Formation</t>
        </is>
      </c>
      <c r="F12" s="5" t="inlineStr">
        <is>
          <t>Miscellaneous</t>
        </is>
      </c>
    </row>
    <row r="13">
      <c r="C13" s="5" t="inlineStr">
        <is>
          <t>Site Development</t>
        </is>
      </c>
      <c r="D13" s="5" t="inlineStr">
        <is>
          <t>Blacktop Roads</t>
        </is>
      </c>
    </row>
    <row r="14">
      <c r="C14" s="5" t="inlineStr">
        <is>
          <t>Site Development</t>
        </is>
      </c>
      <c r="D14" s="5" t="inlineStr">
        <is>
          <t>Interlocking Pavers</t>
        </is>
      </c>
    </row>
    <row r="15">
      <c r="C15" s="5" t="inlineStr">
        <is>
          <t>Site Development</t>
        </is>
      </c>
      <c r="D15" s="5" t="inlineStr">
        <is>
          <t>Compound Wall</t>
        </is>
      </c>
    </row>
    <row r="16">
      <c r="C16" s="5" t="inlineStr">
        <is>
          <t>Site Development</t>
        </is>
      </c>
      <c r="D16" s="5" t="inlineStr">
        <is>
          <t>Entrance Gate</t>
        </is>
      </c>
    </row>
    <row r="17">
      <c r="C17" s="5" t="inlineStr">
        <is>
          <t>Site Development</t>
        </is>
      </c>
      <c r="D17" s="5" t="inlineStr">
        <is>
          <t>Drainage</t>
        </is>
      </c>
    </row>
    <row r="18">
      <c r="C18" s="5" t="inlineStr">
        <is>
          <t>Site Development</t>
        </is>
      </c>
      <c r="D18" s="5" t="inlineStr">
        <is>
          <t>Culverts</t>
        </is>
      </c>
    </row>
    <row r="19">
      <c r="C19" s="5" t="inlineStr">
        <is>
          <t>Utilities</t>
        </is>
      </c>
      <c r="D19" s="5" t="inlineStr">
        <is>
          <t>Borewell</t>
        </is>
      </c>
    </row>
    <row r="20">
      <c r="C20" s="5" t="inlineStr">
        <is>
          <t>Utilities</t>
        </is>
      </c>
      <c r="D20" s="5" t="inlineStr">
        <is>
          <t>Water Pipelines</t>
        </is>
      </c>
    </row>
    <row r="21">
      <c r="C21" s="5" t="inlineStr">
        <is>
          <t>Utilities</t>
        </is>
      </c>
      <c r="D21" s="5" t="inlineStr">
        <is>
          <t>Water Tank</t>
        </is>
      </c>
    </row>
    <row r="22">
      <c r="C22" s="5" t="inlineStr">
        <is>
          <t>Utilities</t>
        </is>
      </c>
      <c r="D22" s="5" t="inlineStr">
        <is>
          <t>Electricity Connection</t>
        </is>
      </c>
    </row>
    <row r="23">
      <c r="C23" s="5" t="inlineStr">
        <is>
          <t>Utilities</t>
        </is>
      </c>
      <c r="D23" s="5" t="inlineStr">
        <is>
          <t>Transformer</t>
        </is>
      </c>
    </row>
    <row r="24">
      <c r="C24" s="5" t="inlineStr">
        <is>
          <t>Utilities</t>
        </is>
      </c>
      <c r="D24" s="5" t="inlineStr">
        <is>
          <t>Street Lights</t>
        </is>
      </c>
    </row>
    <row r="25">
      <c r="C25" s="5" t="inlineStr">
        <is>
          <t>Utilities</t>
        </is>
      </c>
      <c r="D25" s="5" t="inlineStr">
        <is>
          <t>Generator</t>
        </is>
      </c>
    </row>
    <row r="26">
      <c r="C26" s="5" t="inlineStr">
        <is>
          <t>Landscaping</t>
        </is>
      </c>
      <c r="D26" s="5" t="inlineStr">
        <is>
          <t>Plantation</t>
        </is>
      </c>
    </row>
    <row r="27">
      <c r="C27" s="5" t="inlineStr">
        <is>
          <t>Landscaping</t>
        </is>
      </c>
      <c r="D27" s="5" t="inlineStr">
        <is>
          <t>Miyawaki Forest</t>
        </is>
      </c>
    </row>
    <row r="28">
      <c r="C28" s="5" t="inlineStr">
        <is>
          <t>Landscaping</t>
        </is>
      </c>
      <c r="D28" s="5" t="inlineStr">
        <is>
          <t>Lawn Development</t>
        </is>
      </c>
    </row>
    <row r="29">
      <c r="C29" s="5" t="inlineStr">
        <is>
          <t>Landscaping</t>
        </is>
      </c>
      <c r="D29" s="5" t="inlineStr">
        <is>
          <t>Irrigation/Drip System</t>
        </is>
      </c>
    </row>
    <row r="30">
      <c r="C30" s="5" t="inlineStr">
        <is>
          <t>Landscaping</t>
        </is>
      </c>
      <c r="D30" s="5" t="inlineStr">
        <is>
          <t>Garden Maintenance</t>
        </is>
      </c>
    </row>
    <row r="31">
      <c r="C31" s="5" t="inlineStr">
        <is>
          <t>Buildings &amp; Amenities</t>
        </is>
      </c>
      <c r="D31" s="5" t="inlineStr">
        <is>
          <t>Security Room</t>
        </is>
      </c>
    </row>
    <row r="32">
      <c r="C32" s="5" t="inlineStr">
        <is>
          <t>Buildings &amp; Amenities</t>
        </is>
      </c>
      <c r="D32" s="5" t="inlineStr">
        <is>
          <t>Site Office</t>
        </is>
      </c>
    </row>
    <row r="33">
      <c r="C33" s="5" t="inlineStr">
        <is>
          <t>Buildings &amp; Amenities</t>
        </is>
      </c>
      <c r="D33" s="5" t="inlineStr">
        <is>
          <t>Clubhouse</t>
        </is>
      </c>
    </row>
    <row r="34">
      <c r="C34" s="5" t="inlineStr">
        <is>
          <t>Buildings &amp; Amenities</t>
        </is>
      </c>
      <c r="D34" s="5" t="inlineStr">
        <is>
          <t>Swimming Pool</t>
        </is>
      </c>
    </row>
    <row r="35">
      <c r="C35" s="5" t="inlineStr">
        <is>
          <t>Buildings &amp; Amenities</t>
        </is>
      </c>
      <c r="D35" s="5" t="inlineStr">
        <is>
          <t>Gazebo</t>
        </is>
      </c>
    </row>
    <row r="36">
      <c r="C36" s="5" t="inlineStr">
        <is>
          <t>Buildings &amp; Amenities</t>
        </is>
      </c>
      <c r="D36" s="5" t="inlineStr">
        <is>
          <t>Children's Play Area</t>
        </is>
      </c>
    </row>
    <row r="37">
      <c r="C37" s="5" t="inlineStr">
        <is>
          <t>Buildings &amp; Amenities</t>
        </is>
      </c>
      <c r="D37" s="5" t="inlineStr">
        <is>
          <t>Sports Courts</t>
        </is>
      </c>
    </row>
    <row r="38">
      <c r="C38" s="5" t="inlineStr">
        <is>
          <t>Buildings &amp; Amenities</t>
        </is>
      </c>
      <c r="D38" s="5" t="inlineStr">
        <is>
          <t>Toilets</t>
        </is>
      </c>
    </row>
    <row r="39">
      <c r="C39" s="5" t="inlineStr">
        <is>
          <t>Labour &amp; Contractors</t>
        </is>
      </c>
      <c r="D39" s="5" t="inlineStr">
        <is>
          <t>Labour Wages</t>
        </is>
      </c>
    </row>
    <row r="40">
      <c r="C40" s="5" t="inlineStr">
        <is>
          <t>Labour &amp; Contractors</t>
        </is>
      </c>
      <c r="D40" s="5" t="inlineStr">
        <is>
          <t>Contractor Payments</t>
        </is>
      </c>
    </row>
    <row r="41">
      <c r="C41" s="5" t="inlineStr">
        <is>
          <t>Labour &amp; Contractors</t>
        </is>
      </c>
      <c r="D41" s="5" t="inlineStr">
        <is>
          <t>Machinery Hire</t>
        </is>
      </c>
    </row>
    <row r="42">
      <c r="C42" s="5" t="inlineStr">
        <is>
          <t>Labour &amp; Contractors</t>
        </is>
      </c>
      <c r="D42" s="5" t="inlineStr">
        <is>
          <t>Excavator/JCB</t>
        </is>
      </c>
    </row>
    <row r="43">
      <c r="C43" s="5" t="inlineStr">
        <is>
          <t>Labour &amp; Contractors</t>
        </is>
      </c>
      <c r="D43" s="5" t="inlineStr">
        <is>
          <t>Tractor &amp; Transport</t>
        </is>
      </c>
    </row>
    <row r="44">
      <c r="C44" s="5" t="inlineStr">
        <is>
          <t>Materials</t>
        </is>
      </c>
      <c r="D44" s="5" t="inlineStr">
        <is>
          <t>Cement</t>
        </is>
      </c>
    </row>
    <row r="45">
      <c r="C45" s="5" t="inlineStr">
        <is>
          <t>Materials</t>
        </is>
      </c>
      <c r="D45" s="5" t="inlineStr">
        <is>
          <t>Sand</t>
        </is>
      </c>
    </row>
    <row r="46">
      <c r="C46" s="5" t="inlineStr">
        <is>
          <t>Materials</t>
        </is>
      </c>
      <c r="D46" s="5" t="inlineStr">
        <is>
          <t>Metal</t>
        </is>
      </c>
    </row>
    <row r="47">
      <c r="C47" s="5" t="inlineStr">
        <is>
          <t>Materials</t>
        </is>
      </c>
      <c r="D47" s="5" t="inlineStr">
        <is>
          <t>Bricks</t>
        </is>
      </c>
    </row>
    <row r="48">
      <c r="C48" s="5" t="inlineStr">
        <is>
          <t>Materials</t>
        </is>
      </c>
      <c r="D48" s="5" t="inlineStr">
        <is>
          <t>Steel</t>
        </is>
      </c>
    </row>
    <row r="49">
      <c r="C49" s="5" t="inlineStr">
        <is>
          <t>Materials</t>
        </is>
      </c>
      <c r="D49" s="5" t="inlineStr">
        <is>
          <t>Pipes</t>
        </is>
      </c>
    </row>
    <row r="50">
      <c r="C50" s="5" t="inlineStr">
        <is>
          <t>Materials</t>
        </is>
      </c>
      <c r="D50" s="5" t="inlineStr">
        <is>
          <t>Electrical Materials</t>
        </is>
      </c>
    </row>
    <row r="51">
      <c r="C51" s="5" t="inlineStr">
        <is>
          <t>Materials</t>
        </is>
      </c>
      <c r="D51" s="5" t="inlineStr">
        <is>
          <t>Paint</t>
        </is>
      </c>
    </row>
    <row r="52">
      <c r="C52" s="5" t="inlineStr">
        <is>
          <t>Materials</t>
        </is>
      </c>
      <c r="D52" s="5" t="inlineStr">
        <is>
          <t>Tiles</t>
        </is>
      </c>
    </row>
    <row r="53">
      <c r="C53" s="5" t="inlineStr">
        <is>
          <t>Operations</t>
        </is>
      </c>
      <c r="D53" s="5" t="inlineStr">
        <is>
          <t>Security</t>
        </is>
      </c>
    </row>
    <row r="54">
      <c r="C54" s="5" t="inlineStr">
        <is>
          <t>Operations</t>
        </is>
      </c>
      <c r="D54" s="5" t="inlineStr">
        <is>
          <t>Housekeeping</t>
        </is>
      </c>
    </row>
    <row r="55">
      <c r="C55" s="5" t="inlineStr">
        <is>
          <t>Operations</t>
        </is>
      </c>
      <c r="D55" s="5" t="inlineStr">
        <is>
          <t>Fuel &amp; Diesel</t>
        </is>
      </c>
    </row>
    <row r="56">
      <c r="C56" s="5" t="inlineStr">
        <is>
          <t>Operations</t>
        </is>
      </c>
      <c r="D56" s="5" t="inlineStr">
        <is>
          <t>Vehicle Expenses</t>
        </is>
      </c>
    </row>
    <row r="57">
      <c r="C57" s="5" t="inlineStr">
        <is>
          <t>Operations</t>
        </is>
      </c>
      <c r="D57" s="5" t="inlineStr">
        <is>
          <t>Repairs &amp; Maintenance</t>
        </is>
      </c>
    </row>
    <row r="58">
      <c r="C58" s="5" t="inlineStr">
        <is>
          <t>Operations</t>
        </is>
      </c>
      <c r="D58" s="5" t="inlineStr">
        <is>
          <t>Office Expenses</t>
        </is>
      </c>
    </row>
    <row r="59">
      <c r="C59" s="5" t="inlineStr">
        <is>
          <t>Operations</t>
        </is>
      </c>
      <c r="D59" s="5" t="inlineStr">
        <is>
          <t>Internet &amp; Phone</t>
        </is>
      </c>
    </row>
    <row r="60">
      <c r="C60" s="5" t="inlineStr">
        <is>
          <t>Marketing &amp; Sales</t>
        </is>
      </c>
      <c r="D60" s="5" t="inlineStr">
        <is>
          <t>Advertisement</t>
        </is>
      </c>
    </row>
    <row r="61">
      <c r="C61" s="5" t="inlineStr">
        <is>
          <t>Marketing &amp; Sales</t>
        </is>
      </c>
      <c r="D61" s="5" t="inlineStr">
        <is>
          <t>Flex Boards</t>
        </is>
      </c>
    </row>
    <row r="62">
      <c r="C62" s="5" t="inlineStr">
        <is>
          <t>Marketing &amp; Sales</t>
        </is>
      </c>
      <c r="D62" s="5" t="inlineStr">
        <is>
          <t>Brochures</t>
        </is>
      </c>
    </row>
    <row r="63">
      <c r="C63" s="5" t="inlineStr">
        <is>
          <t>Marketing &amp; Sales</t>
        </is>
      </c>
      <c r="D63" s="5" t="inlineStr">
        <is>
          <t>Events</t>
        </is>
      </c>
    </row>
    <row r="64">
      <c r="C64" s="5" t="inlineStr">
        <is>
          <t>Marketing &amp; Sales</t>
        </is>
      </c>
      <c r="D64" s="5" t="inlineStr">
        <is>
          <t>Photography &amp; Drone</t>
        </is>
      </c>
    </row>
    <row r="65">
      <c r="C65" s="5" t="inlineStr">
        <is>
          <t>Marketing &amp; Sales</t>
        </is>
      </c>
      <c r="D65" s="5" t="inlineStr">
        <is>
          <t>Digital Marketing</t>
        </is>
      </c>
    </row>
    <row r="66">
      <c r="C66" s="5" t="inlineStr">
        <is>
          <t>Miscellaneous</t>
        </is>
      </c>
      <c r="D66" s="5" t="inlineStr">
        <is>
          <t>Travel Expenses</t>
        </is>
      </c>
    </row>
    <row r="67">
      <c r="C67" s="5" t="inlineStr">
        <is>
          <t>Miscellaneous</t>
        </is>
      </c>
      <c r="D67" s="5" t="inlineStr">
        <is>
          <t>Food &amp; Refreshments</t>
        </is>
      </c>
    </row>
    <row r="68">
      <c r="C68" s="5" t="inlineStr">
        <is>
          <t>Miscellaneous</t>
        </is>
      </c>
      <c r="D68" s="5" t="inlineStr">
        <is>
          <t>Government Fees</t>
        </is>
      </c>
    </row>
    <row r="69">
      <c r="C69" s="5" t="inlineStr">
        <is>
          <t>Miscellaneous</t>
        </is>
      </c>
      <c r="D69" s="5" t="inlineStr">
        <is>
          <t>Bank Charges</t>
        </is>
      </c>
    </row>
    <row r="70">
      <c r="C70" s="5" t="inlineStr">
        <is>
          <t>Miscellaneous</t>
        </is>
      </c>
      <c r="D70" s="5" t="inlineStr">
        <is>
          <t>Miscellaneous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2026-07-05T03:25:18Z</dcterms:created>
  <dcterms:modified xsi:type="dcterms:W3CDTF">2026-07-05T07:04:31Z</dcterms:modified>
</cp:coreProperties>
</file>