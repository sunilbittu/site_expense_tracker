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0240" windowHeight="17180" tabRatio="600" firstSheet="0" activeTab="13" autoFilterDateGrouping="1"/>
  </bookViews>
  <sheets>
    <sheet name="Dashboard" sheetId="1" state="visible" r:id="rId1"/>
    <sheet name="Jan2026" sheetId="2" state="visible" r:id="rId2"/>
    <sheet name="Feb2026" sheetId="3" state="visible" r:id="rId3"/>
    <sheet name="Mar2026" sheetId="4" state="visible" r:id="rId4"/>
    <sheet name="Apr2026" sheetId="5" state="visible" r:id="rId5"/>
    <sheet name="May2026" sheetId="6" state="visible" r:id="rId6"/>
    <sheet name="Jun2026" sheetId="7" state="visible" r:id="rId7"/>
    <sheet name="Jul2026" sheetId="8" state="visible" r:id="rId8"/>
    <sheet name="Aug2026" sheetId="9" state="visible" r:id="rId9"/>
    <sheet name="Sep2026" sheetId="10" state="visible" r:id="rId10"/>
    <sheet name="Oct2026" sheetId="11" state="visible" r:id="rId11"/>
    <sheet name="Nov2026" sheetId="12" state="visible" r:id="rId12"/>
    <sheet name="Dec2026" sheetId="13" state="visible" r:id="rId13"/>
    <sheet name="Categories" sheetId="14" state="visible" r:id="rId14"/>
    <sheet name="Workers" sheetId="15" state="visible" r:id="rId15"/>
    <sheet name="PayEntries" sheetId="16" state="visible" r:id="rId16"/>
    <sheet name="Payslip" sheetId="17" state="visible" r:id="rId17"/>
  </sheets>
  <definedNames>
    <definedName name="_xleta.EXP" hidden="1" xlm="1">#NAME?</definedName>
    <definedName name="_xleta.MODE" hidden="1" xlm="1">#NAME?</definedName>
    <definedName name="Cat_Buildings_Amenities">Categories!$L$3:$L$12</definedName>
    <definedName name="Cat_Labour_Contractors">Categories!$M$3:$M$8</definedName>
    <definedName name="Cat_Land_Legal">Categories!$H$3:$H$9</definedName>
    <definedName name="Cat_Landscaping">Categories!$K$3:$K$8</definedName>
    <definedName name="Cat_Marketing_Sales">Categories!$P$3:$P$8</definedName>
    <definedName name="Cat_Materials">Categories!$N$3:$N$76</definedName>
    <definedName name="Cat_Miscellaneous">Categories!$Q$3:$Q$7</definedName>
    <definedName name="Cat_Office">Categories!$R$3:$R$41</definedName>
    <definedName name="Cat_Operations">Categories!$O$3:$O$8</definedName>
    <definedName name="Cat_Salaries">Categories!$S$3:$S$4</definedName>
    <definedName name="Cat_Site_Development">Categories!$I$3:$I$15</definedName>
    <definedName name="Cat_Utilities">Categories!$J$3:$J$9</definedName>
    <definedName name="IncomeCategories">Categories!$A$3:$A$6</definedName>
    <definedName name="MainCategories">Categories!$F$3:$F$14</definedName>
    <definedName name="_xlnm.Print_Area" localSheetId="16">'Payslip'!$A$1:$B$18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\-mm\-dd"/>
  </numFmts>
  <fonts count="15">
    <font>
      <name val="Calibri"/>
      <family val="2"/>
      <color theme="1"/>
      <sz val="11"/>
      <scheme val="minor"/>
    </font>
    <font>
      <name val="Calibri"/>
      <family val="2"/>
      <b val="1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sz val="14"/>
    </font>
    <font>
      <name val="Calibri"/>
      <family val="2"/>
      <b val="1"/>
      <sz val="13"/>
    </font>
    <font>
      <name val="Calibri"/>
      <family val="2"/>
      <b val="1"/>
      <sz val="11"/>
    </font>
    <font>
      <name val="Calibri"/>
      <family val="2"/>
      <sz val="12"/>
    </font>
    <font>
      <name val="Calibri"/>
      <family val="2"/>
      <b val="1"/>
      <color rgb="FFFFFFFF"/>
      <sz val="11"/>
    </font>
    <font>
      <name val="Calibri (Body)"/>
      <b val="1"/>
      <sz val="16"/>
    </font>
    <font>
      <name val="Calibri (Body)"/>
      <color theme="1"/>
      <sz val="16"/>
    </font>
    <font>
      <name val="Calibri (Body)"/>
      <b val="1"/>
      <color rgb="FFFFFFFF"/>
      <sz val="16"/>
    </font>
    <font>
      <b val="1"/>
      <sz val="14"/>
    </font>
    <font>
      <b val="1"/>
      <color rgb="00FFFFFF"/>
    </font>
    <font>
      <b val="1"/>
      <sz val="13"/>
    </font>
  </fonts>
  <fills count="12">
    <fill>
      <patternFill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FF37474F"/>
        <bgColor rgb="FF37474F"/>
      </patternFill>
    </fill>
    <fill>
      <patternFill patternType="solid">
        <fgColor rgb="FFECEFF1"/>
        <bgColor rgb="FFECEFF1"/>
      </patternFill>
    </fill>
    <fill>
      <patternFill patternType="solid">
        <fgColor rgb="FF37474F"/>
        <bgColor rgb="FF37474F"/>
      </patternFill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0037474F"/>
        <bgColor rgb="0037474F"/>
      </patternFill>
    </fill>
    <fill>
      <patternFill patternType="solid">
        <fgColor rgb="002E7D32"/>
        <bgColor rgb="002E7D32"/>
      </patternFill>
    </fill>
    <fill>
      <patternFill patternType="solid">
        <fgColor rgb="00C62828"/>
        <bgColor rgb="00C62828"/>
      </patternFill>
    </fill>
  </fills>
  <borders count="6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thin">
        <color rgb="FFB0B0B0"/>
      </right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00B0B0B0"/>
      </left>
      <right style="thin">
        <color rgb="00B0B0B0"/>
      </right>
      <top style="thin">
        <color rgb="00B0B0B0"/>
      </top>
      <bottom style="thin">
        <color rgb="00B0B0B0"/>
      </bottom>
    </border>
  </borders>
  <cellStyleXfs count="1">
    <xf numFmtId="0" fontId="0" fillId="0" borderId="0"/>
  </cellStyleXfs>
  <cellXfs count="36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/>
    </xf>
    <xf numFmtId="0" fontId="0" fillId="0" borderId="1" pivotButton="0" quotePrefix="0" xfId="0"/>
    <xf numFmtId="0" fontId="3" fillId="5" borderId="1" pivotButton="0" quotePrefix="0" xfId="0"/>
    <xf numFmtId="4" fontId="3" fillId="0" borderId="1" pivotButton="0" quotePrefix="0" xfId="0"/>
    <xf numFmtId="4" fontId="0" fillId="0" borderId="0" pivotButton="0" quotePrefix="0" xfId="0"/>
    <xf numFmtId="164" fontId="0" fillId="0" borderId="0" pivotButton="0" quotePrefix="0" xfId="0"/>
    <xf numFmtId="0" fontId="4" fillId="0" borderId="0" pivotButton="0" quotePrefix="0" xfId="0"/>
    <xf numFmtId="0" fontId="6" fillId="0" borderId="0" pivotButton="0" quotePrefix="0" xfId="0"/>
    <xf numFmtId="0" fontId="7" fillId="0" borderId="2" pivotButton="0" quotePrefix="0" xfId="0"/>
    <xf numFmtId="0" fontId="5" fillId="0" borderId="2" pivotButton="0" quotePrefix="0" xfId="0"/>
    <xf numFmtId="18" fontId="0" fillId="0" borderId="0" pivotButton="0" quotePrefix="0" xfId="0"/>
    <xf numFmtId="49" fontId="0" fillId="0" borderId="0" pivotButton="0" quotePrefix="0" xfId="0"/>
    <xf numFmtId="0" fontId="0" fillId="0" borderId="3" pivotButton="0" quotePrefix="0" xfId="0"/>
    <xf numFmtId="0" fontId="8" fillId="6" borderId="4" applyAlignment="1" pivotButton="0" quotePrefix="0" xfId="0">
      <alignment horizontal="center"/>
    </xf>
    <xf numFmtId="0" fontId="8" fillId="7" borderId="4" applyAlignment="1" pivotButton="0" quotePrefix="0" xfId="0">
      <alignment horizontal="center"/>
    </xf>
    <xf numFmtId="0" fontId="8" fillId="8" borderId="4" applyAlignment="1" pivotButton="0" quotePrefix="0" xfId="0">
      <alignment horizontal="center"/>
    </xf>
    <xf numFmtId="0" fontId="9" fillId="0" borderId="0" pivotButton="0" quotePrefix="0" xfId="0"/>
    <xf numFmtId="0" fontId="10" fillId="0" borderId="0" pivotButton="0" quotePrefix="0" xfId="0"/>
    <xf numFmtId="0" fontId="11" fillId="6" borderId="0" applyAlignment="1" pivotButton="0" quotePrefix="0" xfId="0">
      <alignment horizontal="center"/>
    </xf>
    <xf numFmtId="0" fontId="11" fillId="7" borderId="0" applyAlignment="1" pivotButton="0" quotePrefix="0" xfId="0">
      <alignment horizontal="center"/>
    </xf>
    <xf numFmtId="0" fontId="11" fillId="8" borderId="0" applyAlignment="1" pivotButton="0" quotePrefix="0" xfId="0">
      <alignment horizontal="center"/>
    </xf>
    <xf numFmtId="4" fontId="9" fillId="0" borderId="4" pivotButton="0" quotePrefix="0" xfId="0"/>
    <xf numFmtId="0" fontId="0" fillId="0" borderId="3" pivotButton="0" quotePrefix="0" xfId="0"/>
    <xf numFmtId="0" fontId="0" fillId="0" borderId="4" pivotButton="0" quotePrefix="0" xfId="0"/>
    <xf numFmtId="0" fontId="12" fillId="0" borderId="0" pivotButton="0" quotePrefix="0" xfId="0"/>
    <xf numFmtId="0" fontId="13" fillId="9" borderId="0" applyAlignment="1" pivotButton="0" quotePrefix="0" xfId="0">
      <alignment horizontal="center"/>
    </xf>
    <xf numFmtId="0" fontId="13" fillId="10" borderId="0" applyAlignment="1" pivotButton="0" quotePrefix="0" xfId="0">
      <alignment horizontal="center"/>
    </xf>
    <xf numFmtId="0" fontId="13" fillId="11" borderId="0" applyAlignment="1" pivotButton="0" quotePrefix="0" xfId="0">
      <alignment horizontal="center"/>
    </xf>
    <xf numFmtId="4" fontId="14" fillId="0" borderId="5" pivotButton="0" quotePrefix="0" xfId="0"/>
    <xf numFmtId="0" fontId="13" fillId="9" borderId="5" applyAlignment="1" pivotButton="0" quotePrefix="0" xfId="0">
      <alignment horizontal="center"/>
    </xf>
    <xf numFmtId="0" fontId="13" fillId="10" borderId="5" applyAlignment="1" pivotButton="0" quotePrefix="0" xfId="0">
      <alignment horizontal="center"/>
    </xf>
    <xf numFmtId="0" fontId="13" fillId="11" borderId="5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Balance Trend</a:t>
            </a:r>
          </a:p>
        </rich>
      </tx>
    </title>
    <plotArea>
      <lineChart>
        <grouping val="standard"/>
        <ser>
          <idx val="0"/>
          <order val="0"/>
          <tx>
            <strRef>
              <f>'Dashboard'!D44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'Dashboard'!$A$45:$A$56</f>
            </numRef>
          </cat>
          <val>
            <numRef>
              <f>'Dashboard'!$D$45:$D$56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Monthly Receipts vs Payments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'Dashboard'!B44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'Dashboard'!$B$45:$B$56</f>
            </numRef>
          </val>
        </ser>
        <ser>
          <idx val="1"/>
          <order val="1"/>
          <tx>
            <strRef>
              <f>'Dashboard'!C44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'Dashboard'!$C$45:$C$56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Spend by Main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'Dashboard'!G44</f>
            </strRef>
          </tx>
          <spPr>
            <a:ln>
              <a:prstDash val="solid"/>
            </a:ln>
          </spPr>
          <cat>
            <numRef>
              <f>'Dashboard'!$F$45:$F$56</f>
            </numRef>
          </cat>
          <val>
            <numRef>
              <f>'Dashboard'!$G$45:$G$56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Income by Source</a:t>
            </a:r>
          </a:p>
        </rich>
      </tx>
    </title>
    <plotArea>
      <pieChart>
        <varyColors val="1"/>
        <ser>
          <idx val="0"/>
          <order val="0"/>
          <tx>
            <strRef>
              <f>'Dashboard'!J44</f>
            </strRef>
          </tx>
          <spPr>
            <a:ln>
              <a:prstDash val="solid"/>
            </a:ln>
          </spPr>
          <cat>
            <numRef>
              <f>'Dashboard'!$I$45:$I$48</f>
            </numRef>
          </cat>
          <val>
            <numRef>
              <f>'Dashboard'!$J$45:$J$48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6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6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23</row>
      <rowOff>0</rowOff>
    </from>
    <ext cx="540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9</col>
      <colOff>0</colOff>
      <row>23</row>
      <rowOff>0</rowOff>
    </from>
    <ext cx="540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SubCategoryDetail" displayName="SubCategoryDetail" ref="A60:C240" headerRowCount="1">
  <autoFilter ref="A60:C240"/>
  <tableColumns count="3">
    <tableColumn id="1" name="Main Category"/>
    <tableColumn id="2" name="Sub-Category"/>
    <tableColumn id="3" name="Amount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240"/>
  <sheetViews>
    <sheetView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2" customWidth="1" min="4" max="4"/>
    <col width="22" customWidth="1" min="6" max="6"/>
    <col width="16" customWidth="1" min="7" max="7"/>
    <col width="22" customWidth="1" min="9" max="9"/>
    <col width="16" customWidth="1" min="10" max="10"/>
    <col width="16" customWidth="1" min="11" max="11"/>
    <col width="14" customWidth="1" min="12" max="12"/>
    <col width="16" customWidth="1" min="13" max="13"/>
  </cols>
  <sheetData>
    <row r="1">
      <c r="A1" s="28" t="inlineStr">
        <is>
          <t>Site Expense Dashboard</t>
        </is>
      </c>
    </row>
    <row r="3">
      <c r="A3" s="29" t="inlineStr">
        <is>
          <t>Current Cash Balance</t>
        </is>
      </c>
      <c r="C3" s="30" t="inlineStr">
        <is>
          <t>YTD Total Receipts</t>
        </is>
      </c>
      <c r="E3" s="31" t="inlineStr">
        <is>
          <t>YTD Total Payments</t>
        </is>
      </c>
      <c r="G3" s="29" t="inlineStr">
        <is>
          <t>Net Position (YTD)</t>
        </is>
      </c>
      <c r="I3" s="29" t="inlineStr">
        <is>
          <t>Cash at Hand</t>
        </is>
      </c>
      <c r="K3" s="29" t="inlineStr">
        <is>
          <t>Cash at Bank</t>
        </is>
      </c>
    </row>
    <row r="4">
      <c r="A4" s="32">
        <f>'Dec2026'!B106</f>
        <v/>
      </c>
      <c r="C4" s="32">
        <f>SUM(B45:B56)</f>
        <v/>
      </c>
      <c r="E4" s="32">
        <f>SUM(C45:C56)</f>
        <v/>
      </c>
      <c r="G4" s="32">
        <f>C4-E4</f>
        <v/>
      </c>
      <c r="I4" s="32">
        <f>SUMIFS(Jan2026!D3:D100,Jan2026!F3:F100,"Cash")-SUMIFS(Jan2026!K3:K100,Jan2026!N3:N100,"Cash")+SUMIFS(Feb2026!D3:D100,Feb2026!F3:F100,"Cash")-SUMIFS(Feb2026!K3:K100,Feb2026!N3:N100,"Cash")+SUMIFS(Mar2026!D3:D100,Mar2026!F3:F100,"Cash")-SUMIFS(Mar2026!K3:K100,Mar2026!N3:N100,"Cash")+SUMIFS(Apr2026!D3:D100,Apr2026!F3:F100,"Cash")-SUMIFS(Apr2026!K3:K100,Apr2026!N3:N100,"Cash")+SUMIFS(May2026!D3:D100,May2026!F3:F100,"Cash")-SUMIFS(May2026!K3:K100,May2026!N3:N100,"Cash")+SUMIFS(Jun2026!D3:D100,Jun2026!F3:F100,"Cash")-SUMIFS(Jun2026!K3:K100,Jun2026!N3:N100,"Cash")+SUMIFS(Jul2026!D3:D100,Jul2026!F3:F100,"Cash")-SUMIFS(Jul2026!K3:K100,Jul2026!N3:N100,"Cash")+SUMIFS(Aug2026!D3:D100,Aug2026!F3:F100,"Cash")-SUMIFS(Aug2026!K3:K100,Aug2026!N3:N100,"Cash")+SUMIFS(Sep2026!D3:D100,Sep2026!F3:F100,"Cash")-SUMIFS(Sep2026!K3:K100,Sep2026!N3:N100,"Cash")+SUMIFS(Oct2026!D3:D100,Oct2026!F3:F100,"Cash")-SUMIFS(Oct2026!K3:K100,Oct2026!N3:N100,"Cash")+SUMIFS(Nov2026!D3:D100,Nov2026!F3:F100,"Cash")-SUMIFS(Nov2026!K3:K100,Nov2026!N3:N100,"Cash")+SUMIFS(Dec2026!D3:D100,Dec2026!F3:F100,"Cash")-SUMIFS(Dec2026!K3:K100,Dec2026!N3:N100,"Cash")</f>
        <v/>
      </c>
      <c r="K4" s="32">
        <f>SUMIFS(Jan2026!D3:D100,Jan2026!F3:F100,"Bank")-SUMIFS(Jan2026!K3:K100,Jan2026!N3:N100,"Bank")+SUMIFS(Feb2026!D3:D100,Feb2026!F3:F100,"Bank")-SUMIFS(Feb2026!K3:K100,Feb2026!N3:N100,"Bank")+SUMIFS(Mar2026!D3:D100,Mar2026!F3:F100,"Bank")-SUMIFS(Mar2026!K3:K100,Mar2026!N3:N100,"Bank")+SUMIFS(Apr2026!D3:D100,Apr2026!F3:F100,"Bank")-SUMIFS(Apr2026!K3:K100,Apr2026!N3:N100,"Bank")+SUMIFS(May2026!D3:D100,May2026!F3:F100,"Bank")-SUMIFS(May2026!K3:K100,May2026!N3:N100,"Bank")+SUMIFS(Jun2026!D3:D100,Jun2026!F3:F100,"Bank")-SUMIFS(Jun2026!K3:K100,Jun2026!N3:N100,"Bank")+SUMIFS(Jul2026!D3:D100,Jul2026!F3:F100,"Bank")-SUMIFS(Jul2026!K3:K100,Jul2026!N3:N100,"Bank")+SUMIFS(Aug2026!D3:D100,Aug2026!F3:F100,"Bank")-SUMIFS(Aug2026!K3:K100,Aug2026!N3:N100,"Bank")+SUMIFS(Sep2026!D3:D100,Sep2026!F3:F100,"Bank")-SUMIFS(Sep2026!K3:K100,Sep2026!N3:N100,"Bank")+SUMIFS(Oct2026!D3:D100,Oct2026!F3:F100,"Bank")-SUMIFS(Oct2026!K3:K100,Oct2026!N3:N100,"Bank")+SUMIFS(Nov2026!D3:D100,Nov2026!F3:F100,"Bank")-SUMIFS(Nov2026!K3:K100,Nov2026!N3:N100,"Bank")+SUMIFS(Dec2026!D3:D100,Dec2026!F3:F100,"Bank")-SUMIFS(Dec2026!K3:K100,Dec2026!N3:N100,"Bank")</f>
        <v/>
      </c>
    </row>
    <row r="44">
      <c r="A44" s="33" t="inlineStr">
        <is>
          <t>Month</t>
        </is>
      </c>
      <c r="B44" s="34" t="inlineStr">
        <is>
          <t>Receipts</t>
        </is>
      </c>
      <c r="C44" s="35" t="inlineStr">
        <is>
          <t>Payments</t>
        </is>
      </c>
      <c r="D44" s="33" t="inlineStr">
        <is>
          <t>Closing Balance</t>
        </is>
      </c>
      <c r="F44" s="35" t="inlineStr">
        <is>
          <t>Main Category</t>
        </is>
      </c>
      <c r="G44" s="35" t="inlineStr">
        <is>
          <t>Amount</t>
        </is>
      </c>
      <c r="I44" s="34" t="inlineStr">
        <is>
          <t>Income Category</t>
        </is>
      </c>
      <c r="J44" s="34" t="inlineStr">
        <is>
          <t>Amount</t>
        </is>
      </c>
      <c r="L44" s="33" t="inlineStr">
        <is>
          <t>Payment Mode</t>
        </is>
      </c>
      <c r="M44" s="33" t="inlineStr">
        <is>
          <t>Amount</t>
        </is>
      </c>
    </row>
    <row r="45">
      <c r="A45" t="inlineStr">
        <is>
          <t>Jan2026</t>
        </is>
      </c>
      <c r="B45" s="8">
        <f>'Jan2026'!B104</f>
        <v/>
      </c>
      <c r="C45" s="8">
        <f>'Jan2026'!B105</f>
        <v/>
      </c>
      <c r="D45" s="8">
        <f>'Jan2026'!B106</f>
        <v/>
      </c>
      <c r="F45" t="inlineStr">
        <is>
          <t>Land &amp; Legal</t>
        </is>
      </c>
      <c r="G45" s="8">
        <f>SUMIFS(Jan2026!K3:K100,Jan2026!L3:L100,$F45)+SUMIFS(Feb2026!K3:K100,Feb2026!L3:L100,$F45)+SUMIFS(Mar2026!K3:K100,Mar2026!L3:L100,$F45)+SUMIFS(Apr2026!K3:K100,Apr2026!L3:L100,$F45)+SUMIFS(May2026!K3:K100,May2026!L3:L100,$F45)+SUMIFS(Jun2026!K3:K100,Jun2026!L3:L100,$F45)+SUMIFS(Jul2026!K3:K100,Jul2026!L3:L100,$F45)+SUMIFS(Aug2026!K3:K100,Aug2026!L3:L100,$F45)+SUMIFS(Sep2026!K3:K100,Sep2026!L3:L100,$F45)+SUMIFS(Oct2026!K3:K100,Oct2026!L3:L100,$F45)+SUMIFS(Nov2026!K3:K100,Nov2026!L3:L100,$F45)+SUMIFS(Dec2026!K3:K100,Dec2026!L3:L100,$F45)</f>
        <v/>
      </c>
      <c r="I45" t="inlineStr">
        <is>
          <t>Investor Capital</t>
        </is>
      </c>
      <c r="J45" s="8">
        <f>SUMIFS(Jan2026!D3:D100,Jan2026!E3:E100,$I45)+SUMIFS(Feb2026!D3:D100,Feb2026!E3:E100,$I45)+SUMIFS(Mar2026!D3:D100,Mar2026!E3:E100,$I45)+SUMIFS(Apr2026!D3:D100,Apr2026!E3:E100,$I45)+SUMIFS(May2026!D3:D100,May2026!E3:E100,$I45)+SUMIFS(Jun2026!D3:D100,Jun2026!E3:E100,$I45)+SUMIFS(Jul2026!D3:D100,Jul2026!E3:E100,$I45)+SUMIFS(Aug2026!D3:D100,Aug2026!E3:E100,$I45)+SUMIFS(Sep2026!D3:D100,Sep2026!E3:E100,$I45)+SUMIFS(Oct2026!D3:D100,Oct2026!E3:E100,$I45)+SUMIFS(Nov2026!D3:D100,Nov2026!E3:E100,$I45)+SUMIFS(Dec2026!D3:D100,Dec2026!E3:E100,$I45)</f>
        <v/>
      </c>
      <c r="L45" t="inlineStr">
        <is>
          <t>Bank</t>
        </is>
      </c>
      <c r="M45" s="8">
        <f>SUMIFS(Jan2026!D3:D100,Jan2026!F3:F100,$L45)+SUMIFS(Jan2026!K3:K100,Jan2026!N3:N100,$L45)+SUMIFS(Feb2026!D3:D100,Feb2026!F3:F100,$L45)+SUMIFS(Feb2026!K3:K100,Feb2026!N3:N100,$L45)+SUMIFS(Mar2026!D3:D100,Mar2026!F3:F100,$L45)+SUMIFS(Mar2026!K3:K100,Mar2026!N3:N100,$L45)+SUMIFS(Apr2026!D3:D100,Apr2026!F3:F100,$L45)+SUMIFS(Apr2026!K3:K100,Apr2026!N3:N100,$L45)+SUMIFS(May2026!D3:D100,May2026!F3:F100,$L45)+SUMIFS(May2026!K3:K100,May2026!N3:N100,$L45)+SUMIFS(Jun2026!D3:D100,Jun2026!F3:F100,$L45)+SUMIFS(Jun2026!K3:K100,Jun2026!N3:N100,$L45)+SUMIFS(Jul2026!D3:D100,Jul2026!F3:F100,$L45)+SUMIFS(Jul2026!K3:K100,Jul2026!N3:N100,$L45)+SUMIFS(Aug2026!D3:D100,Aug2026!F3:F100,$L45)+SUMIFS(Aug2026!K3:K100,Aug2026!N3:N100,$L45)+SUMIFS(Sep2026!D3:D100,Sep2026!F3:F100,$L45)+SUMIFS(Sep2026!K3:K100,Sep2026!N3:N100,$L45)+SUMIFS(Oct2026!D3:D100,Oct2026!F3:F100,$L45)+SUMIFS(Oct2026!K3:K100,Oct2026!N3:N100,$L45)+SUMIFS(Nov2026!D3:D100,Nov2026!F3:F100,$L45)+SUMIFS(Nov2026!K3:K100,Nov2026!N3:N100,$L45)+SUMIFS(Dec2026!D3:D100,Dec2026!F3:F100,$L45)+SUMIFS(Dec2026!K3:K100,Dec2026!N3:N100,$L45)</f>
        <v/>
      </c>
    </row>
    <row r="46">
      <c r="A46" t="inlineStr">
        <is>
          <t>Feb2026</t>
        </is>
      </c>
      <c r="B46" s="8">
        <f>'Feb2026'!B102</f>
        <v/>
      </c>
      <c r="C46" s="8">
        <f>'Feb2026'!B103</f>
        <v/>
      </c>
      <c r="D46" s="8">
        <f>'Feb2026'!B104</f>
        <v/>
      </c>
      <c r="F46" t="inlineStr">
        <is>
          <t>Site Development</t>
        </is>
      </c>
      <c r="G46" s="8">
        <f>SUMIFS(Jan2026!K3:K100,Jan2026!L3:L100,$F46)+SUMIFS(Feb2026!K3:K100,Feb2026!L3:L100,$F46)+SUMIFS(Mar2026!K3:K100,Mar2026!L3:L100,$F46)+SUMIFS(Apr2026!K3:K100,Apr2026!L3:L100,$F46)+SUMIFS(May2026!K3:K100,May2026!L3:L100,$F46)+SUMIFS(Jun2026!K3:K100,Jun2026!L3:L100,$F46)+SUMIFS(Jul2026!K3:K100,Jul2026!L3:L100,$F46)+SUMIFS(Aug2026!K3:K100,Aug2026!L3:L100,$F46)+SUMIFS(Sep2026!K3:K100,Sep2026!L3:L100,$F46)+SUMIFS(Oct2026!K3:K100,Oct2026!L3:L100,$F46)+SUMIFS(Nov2026!K3:K100,Nov2026!L3:L100,$F46)+SUMIFS(Dec2026!K3:K100,Dec2026!L3:L100,$F46)</f>
        <v/>
      </c>
      <c r="I46" t="inlineStr">
        <is>
          <t>Partner Contribution</t>
        </is>
      </c>
      <c r="J46" s="8">
        <f>SUMIFS(Jan2026!D3:D100,Jan2026!E3:E100,$I46)+SUMIFS(Feb2026!D3:D100,Feb2026!E3:E100,$I46)+SUMIFS(Mar2026!D3:D100,Mar2026!E3:E100,$I46)+SUMIFS(Apr2026!D3:D100,Apr2026!E3:E100,$I46)+SUMIFS(May2026!D3:D100,May2026!E3:E100,$I46)+SUMIFS(Jun2026!D3:D100,Jun2026!E3:E100,$I46)+SUMIFS(Jul2026!D3:D100,Jul2026!E3:E100,$I46)+SUMIFS(Aug2026!D3:D100,Aug2026!E3:E100,$I46)+SUMIFS(Sep2026!D3:D100,Sep2026!E3:E100,$I46)+SUMIFS(Oct2026!D3:D100,Oct2026!E3:E100,$I46)+SUMIFS(Nov2026!D3:D100,Nov2026!E3:E100,$I46)+SUMIFS(Dec2026!D3:D100,Dec2026!E3:E100,$I46)</f>
        <v/>
      </c>
      <c r="L46" t="inlineStr">
        <is>
          <t>Cash</t>
        </is>
      </c>
      <c r="M46" s="8">
        <f>SUMIFS(Jan2026!D3:D100,Jan2026!F3:F100,$L46)+SUMIFS(Jan2026!K3:K100,Jan2026!N3:N100,$L46)+SUMIFS(Feb2026!D3:D100,Feb2026!F3:F100,$L46)+SUMIFS(Feb2026!K3:K100,Feb2026!N3:N100,$L46)+SUMIFS(Mar2026!D3:D100,Mar2026!F3:F100,$L46)+SUMIFS(Mar2026!K3:K100,Mar2026!N3:N100,$L46)+SUMIFS(Apr2026!D3:D100,Apr2026!F3:F100,$L46)+SUMIFS(Apr2026!K3:K100,Apr2026!N3:N100,$L46)+SUMIFS(May2026!D3:D100,May2026!F3:F100,$L46)+SUMIFS(May2026!K3:K100,May2026!N3:N100,$L46)+SUMIFS(Jun2026!D3:D100,Jun2026!F3:F100,$L46)+SUMIFS(Jun2026!K3:K100,Jun2026!N3:N100,$L46)+SUMIFS(Jul2026!D3:D100,Jul2026!F3:F100,$L46)+SUMIFS(Jul2026!K3:K100,Jul2026!N3:N100,$L46)+SUMIFS(Aug2026!D3:D100,Aug2026!F3:F100,$L46)+SUMIFS(Aug2026!K3:K100,Aug2026!N3:N100,$L46)+SUMIFS(Sep2026!D3:D100,Sep2026!F3:F100,$L46)+SUMIFS(Sep2026!K3:K100,Sep2026!N3:N100,$L46)+SUMIFS(Oct2026!D3:D100,Oct2026!F3:F100,$L46)+SUMIFS(Oct2026!K3:K100,Oct2026!N3:N100,$L46)+SUMIFS(Nov2026!D3:D100,Nov2026!F3:F100,$L46)+SUMIFS(Nov2026!K3:K100,Nov2026!N3:N100,$L46)+SUMIFS(Dec2026!D3:D100,Dec2026!F3:F100,$L46)+SUMIFS(Dec2026!K3:K100,Dec2026!N3:N100,$L46)</f>
        <v/>
      </c>
    </row>
    <row r="47">
      <c r="A47" t="inlineStr">
        <is>
          <t>Mar2026</t>
        </is>
      </c>
      <c r="B47" s="8">
        <f>'Mar2026'!B101</f>
        <v/>
      </c>
      <c r="C47" s="8">
        <f>'Mar2026'!B102</f>
        <v/>
      </c>
      <c r="D47" s="8">
        <f>'Mar2026'!B103</f>
        <v/>
      </c>
      <c r="F47" t="inlineStr">
        <is>
          <t>Utilities</t>
        </is>
      </c>
      <c r="G47" s="8">
        <f>SUMIFS(Jan2026!K3:K100,Jan2026!L3:L100,$F47)+SUMIFS(Feb2026!K3:K100,Feb2026!L3:L100,$F47)+SUMIFS(Mar2026!K3:K100,Mar2026!L3:L100,$F47)+SUMIFS(Apr2026!K3:K100,Apr2026!L3:L100,$F47)+SUMIFS(May2026!K3:K100,May2026!L3:L100,$F47)+SUMIFS(Jun2026!K3:K100,Jun2026!L3:L100,$F47)+SUMIFS(Jul2026!K3:K100,Jul2026!L3:L100,$F47)+SUMIFS(Aug2026!K3:K100,Aug2026!L3:L100,$F47)+SUMIFS(Sep2026!K3:K100,Sep2026!L3:L100,$F47)+SUMIFS(Oct2026!K3:K100,Oct2026!L3:L100,$F47)+SUMIFS(Nov2026!K3:K100,Nov2026!L3:L100,$F47)+SUMIFS(Dec2026!K3:K100,Dec2026!L3:L100,$F47)</f>
        <v/>
      </c>
      <c r="I47" t="inlineStr">
        <is>
          <t>Loan Received</t>
        </is>
      </c>
      <c r="J47" s="8">
        <f>SUMIFS(Jan2026!D3:D100,Jan2026!E3:E100,$I47)+SUMIFS(Feb2026!D3:D100,Feb2026!E3:E100,$I47)+SUMIFS(Mar2026!D3:D100,Mar2026!E3:E100,$I47)+SUMIFS(Apr2026!D3:D100,Apr2026!E3:E100,$I47)+SUMIFS(May2026!D3:D100,May2026!E3:E100,$I47)+SUMIFS(Jun2026!D3:D100,Jun2026!E3:E100,$I47)+SUMIFS(Jul2026!D3:D100,Jul2026!E3:E100,$I47)+SUMIFS(Aug2026!D3:D100,Aug2026!E3:E100,$I47)+SUMIFS(Sep2026!D3:D100,Sep2026!E3:E100,$I47)+SUMIFS(Oct2026!D3:D100,Oct2026!E3:E100,$I47)+SUMIFS(Nov2026!D3:D100,Nov2026!E3:E100,$I47)+SUMIFS(Dec2026!D3:D100,Dec2026!E3:E100,$I47)</f>
        <v/>
      </c>
    </row>
    <row r="48">
      <c r="A48" t="inlineStr">
        <is>
          <t>Apr2026</t>
        </is>
      </c>
      <c r="B48" s="8">
        <f>'Apr2026'!B102</f>
        <v/>
      </c>
      <c r="C48" s="8">
        <f>'Apr2026'!B103</f>
        <v/>
      </c>
      <c r="D48" s="8">
        <f>'Apr2026'!B104</f>
        <v/>
      </c>
      <c r="F48" t="inlineStr">
        <is>
          <t>Landscaping</t>
        </is>
      </c>
      <c r="G48" s="8">
        <f>SUMIFS(Jan2026!K3:K100,Jan2026!L3:L100,$F48)+SUMIFS(Feb2026!K3:K100,Feb2026!L3:L100,$F48)+SUMIFS(Mar2026!K3:K100,Mar2026!L3:L100,$F48)+SUMIFS(Apr2026!K3:K100,Apr2026!L3:L100,$F48)+SUMIFS(May2026!K3:K100,May2026!L3:L100,$F48)+SUMIFS(Jun2026!K3:K100,Jun2026!L3:L100,$F48)+SUMIFS(Jul2026!K3:K100,Jul2026!L3:L100,$F48)+SUMIFS(Aug2026!K3:K100,Aug2026!L3:L100,$F48)+SUMIFS(Sep2026!K3:K100,Sep2026!L3:L100,$F48)+SUMIFS(Oct2026!K3:K100,Oct2026!L3:L100,$F48)+SUMIFS(Nov2026!K3:K100,Nov2026!L3:L100,$F48)+SUMIFS(Dec2026!K3:K100,Dec2026!L3:L100,$F48)</f>
        <v/>
      </c>
      <c r="I48" t="inlineStr">
        <is>
          <t>Sales</t>
        </is>
      </c>
      <c r="J48" s="8">
        <f>SUMIFS(Jan2026!D3:D100,Jan2026!E3:E100,$I48)+SUMIFS(Feb2026!D3:D100,Feb2026!E3:E100,$I48)+SUMIFS(Mar2026!D3:D100,Mar2026!E3:E100,$I48)+SUMIFS(Apr2026!D3:D100,Apr2026!E3:E100,$I48)+SUMIFS(May2026!D3:D100,May2026!E3:E100,$I48)+SUMIFS(Jun2026!D3:D100,Jun2026!E3:E100,$I48)+SUMIFS(Jul2026!D3:D100,Jul2026!E3:E100,$I48)+SUMIFS(Aug2026!D3:D100,Aug2026!E3:E100,$I48)+SUMIFS(Sep2026!D3:D100,Sep2026!E3:E100,$I48)+SUMIFS(Oct2026!D3:D100,Oct2026!E3:E100,$I48)+SUMIFS(Nov2026!D3:D100,Nov2026!E3:E100,$I48)+SUMIFS(Dec2026!D3:D100,Dec2026!E3:E100,$I48)</f>
        <v/>
      </c>
    </row>
    <row r="49">
      <c r="A49" t="inlineStr">
        <is>
          <t>May2026</t>
        </is>
      </c>
      <c r="B49" s="8">
        <f>'May2026'!B103</f>
        <v/>
      </c>
      <c r="C49" s="8">
        <f>'May2026'!B104</f>
        <v/>
      </c>
      <c r="D49" s="8">
        <f>'May2026'!B105</f>
        <v/>
      </c>
      <c r="F49" t="inlineStr">
        <is>
          <t>Buildings &amp; Amenities</t>
        </is>
      </c>
      <c r="G49" s="8">
        <f>SUMIFS(Jan2026!K3:K100,Jan2026!L3:L100,$F49)+SUMIFS(Feb2026!K3:K100,Feb2026!L3:L100,$F49)+SUMIFS(Mar2026!K3:K100,Mar2026!L3:L100,$F49)+SUMIFS(Apr2026!K3:K100,Apr2026!L3:L100,$F49)+SUMIFS(May2026!K3:K100,May2026!L3:L100,$F49)+SUMIFS(Jun2026!K3:K100,Jun2026!L3:L100,$F49)+SUMIFS(Jul2026!K3:K100,Jul2026!L3:L100,$F49)+SUMIFS(Aug2026!K3:K100,Aug2026!L3:L100,$F49)+SUMIFS(Sep2026!K3:K100,Sep2026!L3:L100,$F49)+SUMIFS(Oct2026!K3:K100,Oct2026!L3:L100,$F49)+SUMIFS(Nov2026!K3:K100,Nov2026!L3:L100,$F49)+SUMIFS(Dec2026!K3:K100,Dec2026!L3:L100,$F49)</f>
        <v/>
      </c>
    </row>
    <row r="50">
      <c r="A50" t="inlineStr">
        <is>
          <t>Jun2026</t>
        </is>
      </c>
      <c r="B50" s="8">
        <f>'Jun2026'!B104</f>
        <v/>
      </c>
      <c r="C50" s="8">
        <f>'Jun2026'!B105</f>
        <v/>
      </c>
      <c r="D50" s="8">
        <f>'Jun2026'!B106</f>
        <v/>
      </c>
      <c r="F50" t="inlineStr">
        <is>
          <t>Labour &amp; Contractors</t>
        </is>
      </c>
      <c r="G50" s="8">
        <f>SUMIFS(Jan2026!K3:K100,Jan2026!L3:L100,$F50)+SUMIFS(Feb2026!K3:K100,Feb2026!L3:L100,$F50)+SUMIFS(Mar2026!K3:K100,Mar2026!L3:L100,$F50)+SUMIFS(Apr2026!K3:K100,Apr2026!L3:L100,$F50)+SUMIFS(May2026!K3:K100,May2026!L3:L100,$F50)+SUMIFS(Jun2026!K3:K100,Jun2026!L3:L100,$F50)+SUMIFS(Jul2026!K3:K100,Jul2026!L3:L100,$F50)+SUMIFS(Aug2026!K3:K100,Aug2026!L3:L100,$F50)+SUMIFS(Sep2026!K3:K100,Sep2026!L3:L100,$F50)+SUMIFS(Oct2026!K3:K100,Oct2026!L3:L100,$F50)+SUMIFS(Nov2026!K3:K100,Nov2026!L3:L100,$F50)+SUMIFS(Dec2026!K3:K100,Dec2026!L3:L100,$F50)</f>
        <v/>
      </c>
    </row>
    <row r="51">
      <c r="A51" t="inlineStr">
        <is>
          <t>Jul2026</t>
        </is>
      </c>
      <c r="B51" s="8">
        <f>'Jul2026'!B101</f>
        <v/>
      </c>
      <c r="C51" s="8">
        <f>'Jul2026'!B102</f>
        <v/>
      </c>
      <c r="D51" s="8">
        <f>'Jul2026'!B103</f>
        <v/>
      </c>
      <c r="F51" t="inlineStr">
        <is>
          <t>Materials</t>
        </is>
      </c>
      <c r="G51" s="8">
        <f>SUMIFS(Jan2026!K3:K100,Jan2026!L3:L100,$F51)+SUMIFS(Feb2026!K3:K100,Feb2026!L3:L100,$F51)+SUMIFS(Mar2026!K3:K100,Mar2026!L3:L100,$F51)+SUMIFS(Apr2026!K3:K100,Apr2026!L3:L100,$F51)+SUMIFS(May2026!K3:K100,May2026!L3:L100,$F51)+SUMIFS(Jun2026!K3:K100,Jun2026!L3:L100,$F51)+SUMIFS(Jul2026!K3:K100,Jul2026!L3:L100,$F51)+SUMIFS(Aug2026!K3:K100,Aug2026!L3:L100,$F51)+SUMIFS(Sep2026!K3:K100,Sep2026!L3:L100,$F51)+SUMIFS(Oct2026!K3:K100,Oct2026!L3:L100,$F51)+SUMIFS(Nov2026!K3:K100,Nov2026!L3:L100,$F51)+SUMIFS(Dec2026!K3:K100,Dec2026!L3:L100,$F51)</f>
        <v/>
      </c>
    </row>
    <row r="52">
      <c r="A52" t="inlineStr">
        <is>
          <t>Aug2026</t>
        </is>
      </c>
      <c r="B52" s="8">
        <f>'Aug2026'!B104</f>
        <v/>
      </c>
      <c r="C52" s="8">
        <f>'Aug2026'!B105</f>
        <v/>
      </c>
      <c r="D52" s="8">
        <f>'Aug2026'!B106</f>
        <v/>
      </c>
      <c r="F52" t="inlineStr">
        <is>
          <t>Operations</t>
        </is>
      </c>
      <c r="G52" s="8">
        <f>SUMIFS(Jan2026!K3:K100,Jan2026!L3:L100,$F52)+SUMIFS(Feb2026!K3:K100,Feb2026!L3:L100,$F52)+SUMIFS(Mar2026!K3:K100,Mar2026!L3:L100,$F52)+SUMIFS(Apr2026!K3:K100,Apr2026!L3:L100,$F52)+SUMIFS(May2026!K3:K100,May2026!L3:L100,$F52)+SUMIFS(Jun2026!K3:K100,Jun2026!L3:L100,$F52)+SUMIFS(Jul2026!K3:K100,Jul2026!L3:L100,$F52)+SUMIFS(Aug2026!K3:K100,Aug2026!L3:L100,$F52)+SUMIFS(Sep2026!K3:K100,Sep2026!L3:L100,$F52)+SUMIFS(Oct2026!K3:K100,Oct2026!L3:L100,$F52)+SUMIFS(Nov2026!K3:K100,Nov2026!L3:L100,$F52)+SUMIFS(Dec2026!K3:K100,Dec2026!L3:L100,$F52)</f>
        <v/>
      </c>
    </row>
    <row r="53">
      <c r="A53" t="inlineStr">
        <is>
          <t>Sep2026</t>
        </is>
      </c>
      <c r="B53" s="8">
        <f>'Sep2026'!B104</f>
        <v/>
      </c>
      <c r="C53" s="8">
        <f>'Sep2026'!B105</f>
        <v/>
      </c>
      <c r="D53" s="8">
        <f>'Sep2026'!B106</f>
        <v/>
      </c>
      <c r="F53" t="inlineStr">
        <is>
          <t>Marketing &amp; Sales</t>
        </is>
      </c>
      <c r="G53" s="8">
        <f>SUMIFS(Jan2026!K3:K100,Jan2026!L3:L100,$F53)+SUMIFS(Feb2026!K3:K100,Feb2026!L3:L100,$F53)+SUMIFS(Mar2026!K3:K100,Mar2026!L3:L100,$F53)+SUMIFS(Apr2026!K3:K100,Apr2026!L3:L100,$F53)+SUMIFS(May2026!K3:K100,May2026!L3:L100,$F53)+SUMIFS(Jun2026!K3:K100,Jun2026!L3:L100,$F53)+SUMIFS(Jul2026!K3:K100,Jul2026!L3:L100,$F53)+SUMIFS(Aug2026!K3:K100,Aug2026!L3:L100,$F53)+SUMIFS(Sep2026!K3:K100,Sep2026!L3:L100,$F53)+SUMIFS(Oct2026!K3:K100,Oct2026!L3:L100,$F53)+SUMIFS(Nov2026!K3:K100,Nov2026!L3:L100,$F53)+SUMIFS(Dec2026!K3:K100,Dec2026!L3:L100,$F53)</f>
        <v/>
      </c>
    </row>
    <row r="54">
      <c r="A54" t="inlineStr">
        <is>
          <t>Oct2026</t>
        </is>
      </c>
      <c r="B54" s="8">
        <f>'Oct2026'!B104</f>
        <v/>
      </c>
      <c r="C54" s="8">
        <f>'Oct2026'!B105</f>
        <v/>
      </c>
      <c r="D54" s="8">
        <f>'Oct2026'!B106</f>
        <v/>
      </c>
      <c r="F54" t="inlineStr">
        <is>
          <t>Miscellaneous</t>
        </is>
      </c>
      <c r="G54" s="8">
        <f>SUMIFS(Jan2026!K3:K100,Jan2026!L3:L100,$F54)+SUMIFS(Feb2026!K3:K100,Feb2026!L3:L100,$F54)+SUMIFS(Mar2026!K3:K100,Mar2026!L3:L100,$F54)+SUMIFS(Apr2026!K3:K100,Apr2026!L3:L100,$F54)+SUMIFS(May2026!K3:K100,May2026!L3:L100,$F54)+SUMIFS(Jun2026!K3:K100,Jun2026!L3:L100,$F54)+SUMIFS(Jul2026!K3:K100,Jul2026!L3:L100,$F54)+SUMIFS(Aug2026!K3:K100,Aug2026!L3:L100,$F54)+SUMIFS(Sep2026!K3:K100,Sep2026!L3:L100,$F54)+SUMIFS(Oct2026!K3:K100,Oct2026!L3:L100,$F54)+SUMIFS(Nov2026!K3:K100,Nov2026!L3:L100,$F54)+SUMIFS(Dec2026!K3:K100,Dec2026!L3:L100,$F54)</f>
        <v/>
      </c>
    </row>
    <row r="55">
      <c r="A55" t="inlineStr">
        <is>
          <t>Nov2026</t>
        </is>
      </c>
      <c r="B55" s="8">
        <f>'Nov2026'!B104</f>
        <v/>
      </c>
      <c r="C55" s="8">
        <f>'Nov2026'!B105</f>
        <v/>
      </c>
      <c r="D55" s="8">
        <f>'Nov2026'!B106</f>
        <v/>
      </c>
      <c r="F55" t="inlineStr">
        <is>
          <t>Office</t>
        </is>
      </c>
      <c r="G55" s="8">
        <f>SUMIFS(Jan2026!K3:K100,Jan2026!L3:L100,$F55)+SUMIFS(Feb2026!K3:K100,Feb2026!L3:L100,$F55)+SUMIFS(Mar2026!K3:K100,Mar2026!L3:L100,$F55)+SUMIFS(Apr2026!K3:K100,Apr2026!L3:L100,$F55)+SUMIFS(May2026!K3:K100,May2026!L3:L100,$F55)+SUMIFS(Jun2026!K3:K100,Jun2026!L3:L100,$F55)+SUMIFS(Jul2026!K3:K100,Jul2026!L3:L100,$F55)+SUMIFS(Aug2026!K3:K100,Aug2026!L3:L100,$F55)+SUMIFS(Sep2026!K3:K100,Sep2026!L3:L100,$F55)+SUMIFS(Oct2026!K3:K100,Oct2026!L3:L100,$F55)+SUMIFS(Nov2026!K3:K100,Nov2026!L3:L100,$F55)+SUMIFS(Dec2026!K3:K100,Dec2026!L3:L100,$F55)</f>
        <v/>
      </c>
    </row>
    <row r="56">
      <c r="A56" t="inlineStr">
        <is>
          <t>Dec2026</t>
        </is>
      </c>
      <c r="B56" s="8">
        <f>'Dec2026'!B104</f>
        <v/>
      </c>
      <c r="C56" s="8">
        <f>'Dec2026'!B105</f>
        <v/>
      </c>
      <c r="D56" s="8">
        <f>'Dec2026'!B106</f>
        <v/>
      </c>
      <c r="F56" t="inlineStr">
        <is>
          <t>Salaries</t>
        </is>
      </c>
      <c r="G56" s="8">
        <f>SUMIFS(Jan2026!K3:K100,Jan2026!L3:L100,$F56)+SUMIFS(Feb2026!K3:K100,Feb2026!L3:L100,$F56)+SUMIFS(Mar2026!K3:K100,Mar2026!L3:L100,$F56)+SUMIFS(Apr2026!K3:K100,Apr2026!L3:L100,$F56)+SUMIFS(May2026!K3:K100,May2026!L3:L100,$F56)+SUMIFS(Jun2026!K3:K100,Jun2026!L3:L100,$F56)+SUMIFS(Jul2026!K3:K100,Jul2026!L3:L100,$F56)+SUMIFS(Aug2026!K3:K100,Aug2026!L3:L100,$F56)+SUMIFS(Sep2026!K3:K100,Sep2026!L3:L100,$F56)+SUMIFS(Oct2026!K3:K100,Oct2026!L3:L100,$F56)+SUMIFS(Nov2026!K3:K100,Nov2026!L3:L100,$F56)+SUMIFS(Dec2026!K3:K100,Dec2026!L3:L100,$F56)</f>
        <v/>
      </c>
    </row>
    <row r="60">
      <c r="A60" s="35" t="inlineStr">
        <is>
          <t>Main Category</t>
        </is>
      </c>
      <c r="B60" s="35" t="inlineStr">
        <is>
          <t>Sub-Category</t>
        </is>
      </c>
      <c r="C60" s="35" t="inlineStr">
        <is>
          <t>Amount</t>
        </is>
      </c>
    </row>
    <row r="61">
      <c r="A61" t="inlineStr">
        <is>
          <t>Land &amp; Legal</t>
        </is>
      </c>
      <c r="B61" t="inlineStr">
        <is>
          <t>Land Purchase</t>
        </is>
      </c>
      <c r="C61" s="8">
        <f>SUMIFS(Jan2026!K3:K100,Jan2026!L3:L100,$A61,Jan2026!M3:M100,$B61)+SUMIFS(Feb2026!K3:K100,Feb2026!L3:L100,$A61,Feb2026!M3:M100,$B61)+SUMIFS(Mar2026!K3:K100,Mar2026!L3:L100,$A61,Mar2026!M3:M100,$B61)+SUMIFS(Apr2026!K3:K100,Apr2026!L3:L100,$A61,Apr2026!M3:M100,$B61)+SUMIFS(May2026!K3:K100,May2026!L3:L100,$A61,May2026!M3:M100,$B61)+SUMIFS(Jun2026!K3:K100,Jun2026!L3:L100,$A61,Jun2026!M3:M100,$B61)+SUMIFS(Jul2026!K3:K100,Jul2026!L3:L100,$A61,Jul2026!M3:M100,$B61)+SUMIFS(Aug2026!K3:K100,Aug2026!L3:L100,$A61,Aug2026!M3:M100,$B61)+SUMIFS(Sep2026!K3:K100,Sep2026!L3:L100,$A61,Sep2026!M3:M100,$B61)+SUMIFS(Oct2026!K3:K100,Oct2026!L3:L100,$A61,Oct2026!M3:M100,$B61)+SUMIFS(Nov2026!K3:K100,Nov2026!L3:L100,$A61,Nov2026!M3:M100,$B61)+SUMIFS(Dec2026!K3:K100,Dec2026!L3:L100,$A61,Dec2026!M3:M100,$B61)</f>
        <v/>
      </c>
    </row>
    <row r="62">
      <c r="A62" t="inlineStr">
        <is>
          <t>Land &amp; Legal</t>
        </is>
      </c>
      <c r="B62" t="inlineStr">
        <is>
          <t>Advance Payments</t>
        </is>
      </c>
      <c r="C62" s="8">
        <f>SUMIFS(Jan2026!K3:K100,Jan2026!L3:L100,$A62,Jan2026!M3:M100,$B62)+SUMIFS(Feb2026!K3:K100,Feb2026!L3:L100,$A62,Feb2026!M3:M100,$B62)+SUMIFS(Mar2026!K3:K100,Mar2026!L3:L100,$A62,Mar2026!M3:M100,$B62)+SUMIFS(Apr2026!K3:K100,Apr2026!L3:L100,$A62,Apr2026!M3:M100,$B62)+SUMIFS(May2026!K3:K100,May2026!L3:L100,$A62,May2026!M3:M100,$B62)+SUMIFS(Jun2026!K3:K100,Jun2026!L3:L100,$A62,Jun2026!M3:M100,$B62)+SUMIFS(Jul2026!K3:K100,Jul2026!L3:L100,$A62,Jul2026!M3:M100,$B62)+SUMIFS(Aug2026!K3:K100,Aug2026!L3:L100,$A62,Aug2026!M3:M100,$B62)+SUMIFS(Sep2026!K3:K100,Sep2026!L3:L100,$A62,Sep2026!M3:M100,$B62)+SUMIFS(Oct2026!K3:K100,Oct2026!L3:L100,$A62,Oct2026!M3:M100,$B62)+SUMIFS(Nov2026!K3:K100,Nov2026!L3:L100,$A62,Nov2026!M3:M100,$B62)+SUMIFS(Dec2026!K3:K100,Dec2026!L3:L100,$A62,Dec2026!M3:M100,$B62)</f>
        <v/>
      </c>
    </row>
    <row r="63">
      <c r="A63" t="inlineStr">
        <is>
          <t>Land &amp; Legal</t>
        </is>
      </c>
      <c r="B63" t="inlineStr">
        <is>
          <t>Registration Charges</t>
        </is>
      </c>
      <c r="C63" s="8">
        <f>SUMIFS(Jan2026!K3:K100,Jan2026!L3:L100,$A63,Jan2026!M3:M100,$B63)+SUMIFS(Feb2026!K3:K100,Feb2026!L3:L100,$A63,Feb2026!M3:M100,$B63)+SUMIFS(Mar2026!K3:K100,Mar2026!L3:L100,$A63,Mar2026!M3:M100,$B63)+SUMIFS(Apr2026!K3:K100,Apr2026!L3:L100,$A63,Apr2026!M3:M100,$B63)+SUMIFS(May2026!K3:K100,May2026!L3:L100,$A63,May2026!M3:M100,$B63)+SUMIFS(Jun2026!K3:K100,Jun2026!L3:L100,$A63,Jun2026!M3:M100,$B63)+SUMIFS(Jul2026!K3:K100,Jul2026!L3:L100,$A63,Jul2026!M3:M100,$B63)+SUMIFS(Aug2026!K3:K100,Aug2026!L3:L100,$A63,Aug2026!M3:M100,$B63)+SUMIFS(Sep2026!K3:K100,Sep2026!L3:L100,$A63,Sep2026!M3:M100,$B63)+SUMIFS(Oct2026!K3:K100,Oct2026!L3:L100,$A63,Oct2026!M3:M100,$B63)+SUMIFS(Nov2026!K3:K100,Nov2026!L3:L100,$A63,Nov2026!M3:M100,$B63)+SUMIFS(Dec2026!K3:K100,Dec2026!L3:L100,$A63,Dec2026!M3:M100,$B63)</f>
        <v/>
      </c>
    </row>
    <row r="64">
      <c r="A64" t="inlineStr">
        <is>
          <t>Land &amp; Legal</t>
        </is>
      </c>
      <c r="B64" t="inlineStr">
        <is>
          <t>Stamp Duty</t>
        </is>
      </c>
      <c r="C64" s="8">
        <f>SUMIFS(Jan2026!K3:K100,Jan2026!L3:L100,$A64,Jan2026!M3:M100,$B64)+SUMIFS(Feb2026!K3:K100,Feb2026!L3:L100,$A64,Feb2026!M3:M100,$B64)+SUMIFS(Mar2026!K3:K100,Mar2026!L3:L100,$A64,Mar2026!M3:M100,$B64)+SUMIFS(Apr2026!K3:K100,Apr2026!L3:L100,$A64,Apr2026!M3:M100,$B64)+SUMIFS(May2026!K3:K100,May2026!L3:L100,$A64,May2026!M3:M100,$B64)+SUMIFS(Jun2026!K3:K100,Jun2026!L3:L100,$A64,Jun2026!M3:M100,$B64)+SUMIFS(Jul2026!K3:K100,Jul2026!L3:L100,$A64,Jul2026!M3:M100,$B64)+SUMIFS(Aug2026!K3:K100,Aug2026!L3:L100,$A64,Aug2026!M3:M100,$B64)+SUMIFS(Sep2026!K3:K100,Sep2026!L3:L100,$A64,Sep2026!M3:M100,$B64)+SUMIFS(Oct2026!K3:K100,Oct2026!L3:L100,$A64,Oct2026!M3:M100,$B64)+SUMIFS(Nov2026!K3:K100,Nov2026!L3:L100,$A64,Nov2026!M3:M100,$B64)+SUMIFS(Dec2026!K3:K100,Dec2026!L3:L100,$A64,Dec2026!M3:M100,$B64)</f>
        <v/>
      </c>
    </row>
    <row r="65">
      <c r="A65" t="inlineStr">
        <is>
          <t>Land &amp; Legal</t>
        </is>
      </c>
      <c r="B65" t="inlineStr">
        <is>
          <t>Legal Fees</t>
        </is>
      </c>
      <c r="C65" s="8">
        <f>SUMIFS(Jan2026!K3:K100,Jan2026!L3:L100,$A65,Jan2026!M3:M100,$B65)+SUMIFS(Feb2026!K3:K100,Feb2026!L3:L100,$A65,Feb2026!M3:M100,$B65)+SUMIFS(Mar2026!K3:K100,Mar2026!L3:L100,$A65,Mar2026!M3:M100,$B65)+SUMIFS(Apr2026!K3:K100,Apr2026!L3:L100,$A65,Apr2026!M3:M100,$B65)+SUMIFS(May2026!K3:K100,May2026!L3:L100,$A65,May2026!M3:M100,$B65)+SUMIFS(Jun2026!K3:K100,Jun2026!L3:L100,$A65,Jun2026!M3:M100,$B65)+SUMIFS(Jul2026!K3:K100,Jul2026!L3:L100,$A65,Jul2026!M3:M100,$B65)+SUMIFS(Aug2026!K3:K100,Aug2026!L3:L100,$A65,Aug2026!M3:M100,$B65)+SUMIFS(Sep2026!K3:K100,Sep2026!L3:L100,$A65,Sep2026!M3:M100,$B65)+SUMIFS(Oct2026!K3:K100,Oct2026!L3:L100,$A65,Oct2026!M3:M100,$B65)+SUMIFS(Nov2026!K3:K100,Nov2026!L3:L100,$A65,Nov2026!M3:M100,$B65)+SUMIFS(Dec2026!K3:K100,Dec2026!L3:L100,$A65,Dec2026!M3:M100,$B65)</f>
        <v/>
      </c>
    </row>
    <row r="66">
      <c r="A66" t="inlineStr">
        <is>
          <t>Land &amp; Legal</t>
        </is>
      </c>
      <c r="B66" t="inlineStr">
        <is>
          <t>Survey Charges</t>
        </is>
      </c>
      <c r="C66" s="8">
        <f>SUMIFS(Jan2026!K3:K100,Jan2026!L3:L100,$A66,Jan2026!M3:M100,$B66)+SUMIFS(Feb2026!K3:K100,Feb2026!L3:L100,$A66,Feb2026!M3:M100,$B66)+SUMIFS(Mar2026!K3:K100,Mar2026!L3:L100,$A66,Mar2026!M3:M100,$B66)+SUMIFS(Apr2026!K3:K100,Apr2026!L3:L100,$A66,Apr2026!M3:M100,$B66)+SUMIFS(May2026!K3:K100,May2026!L3:L100,$A66,May2026!M3:M100,$B66)+SUMIFS(Jun2026!K3:K100,Jun2026!L3:L100,$A66,Jun2026!M3:M100,$B66)+SUMIFS(Jul2026!K3:K100,Jul2026!L3:L100,$A66,Jul2026!M3:M100,$B66)+SUMIFS(Aug2026!K3:K100,Aug2026!L3:L100,$A66,Aug2026!M3:M100,$B66)+SUMIFS(Sep2026!K3:K100,Sep2026!L3:L100,$A66,Sep2026!M3:M100,$B66)+SUMIFS(Oct2026!K3:K100,Oct2026!L3:L100,$A66,Oct2026!M3:M100,$B66)+SUMIFS(Nov2026!K3:K100,Nov2026!L3:L100,$A66,Nov2026!M3:M100,$B66)+SUMIFS(Dec2026!K3:K100,Dec2026!L3:L100,$A66,Dec2026!M3:M100,$B66)</f>
        <v/>
      </c>
    </row>
    <row r="67">
      <c r="A67" t="inlineStr">
        <is>
          <t>Land &amp; Legal</t>
        </is>
      </c>
      <c r="B67" t="inlineStr">
        <is>
          <t>Documentation</t>
        </is>
      </c>
      <c r="C67" s="8">
        <f>SUMIFS(Jan2026!K3:K100,Jan2026!L3:L100,$A67,Jan2026!M3:M100,$B67)+SUMIFS(Feb2026!K3:K100,Feb2026!L3:L100,$A67,Feb2026!M3:M100,$B67)+SUMIFS(Mar2026!K3:K100,Mar2026!L3:L100,$A67,Mar2026!M3:M100,$B67)+SUMIFS(Apr2026!K3:K100,Apr2026!L3:L100,$A67,Apr2026!M3:M100,$B67)+SUMIFS(May2026!K3:K100,May2026!L3:L100,$A67,May2026!M3:M100,$B67)+SUMIFS(Jun2026!K3:K100,Jun2026!L3:L100,$A67,Jun2026!M3:M100,$B67)+SUMIFS(Jul2026!K3:K100,Jul2026!L3:L100,$A67,Jul2026!M3:M100,$B67)+SUMIFS(Aug2026!K3:K100,Aug2026!L3:L100,$A67,Aug2026!M3:M100,$B67)+SUMIFS(Sep2026!K3:K100,Sep2026!L3:L100,$A67,Sep2026!M3:M100,$B67)+SUMIFS(Oct2026!K3:K100,Oct2026!L3:L100,$A67,Oct2026!M3:M100,$B67)+SUMIFS(Nov2026!K3:K100,Nov2026!L3:L100,$A67,Nov2026!M3:M100,$B67)+SUMIFS(Dec2026!K3:K100,Dec2026!L3:L100,$A67,Dec2026!M3:M100,$B67)</f>
        <v/>
      </c>
    </row>
    <row r="68">
      <c r="A68" t="inlineStr">
        <is>
          <t>Site Development</t>
        </is>
      </c>
      <c r="B68" t="inlineStr">
        <is>
          <t>Land Clearing</t>
        </is>
      </c>
      <c r="C68" s="8">
        <f>SUMIFS(Jan2026!K3:K100,Jan2026!L3:L100,$A68,Jan2026!M3:M100,$B68)+SUMIFS(Feb2026!K3:K100,Feb2026!L3:L100,$A68,Feb2026!M3:M100,$B68)+SUMIFS(Mar2026!K3:K100,Mar2026!L3:L100,$A68,Mar2026!M3:M100,$B68)+SUMIFS(Apr2026!K3:K100,Apr2026!L3:L100,$A68,Apr2026!M3:M100,$B68)+SUMIFS(May2026!K3:K100,May2026!L3:L100,$A68,May2026!M3:M100,$B68)+SUMIFS(Jun2026!K3:K100,Jun2026!L3:L100,$A68,Jun2026!M3:M100,$B68)+SUMIFS(Jul2026!K3:K100,Jul2026!L3:L100,$A68,Jul2026!M3:M100,$B68)+SUMIFS(Aug2026!K3:K100,Aug2026!L3:L100,$A68,Aug2026!M3:M100,$B68)+SUMIFS(Sep2026!K3:K100,Sep2026!L3:L100,$A68,Sep2026!M3:M100,$B68)+SUMIFS(Oct2026!K3:K100,Oct2026!L3:L100,$A68,Oct2026!M3:M100,$B68)+SUMIFS(Nov2026!K3:K100,Nov2026!L3:L100,$A68,Nov2026!M3:M100,$B68)+SUMIFS(Dec2026!K3:K100,Dec2026!L3:L100,$A68,Dec2026!M3:M100,$B68)</f>
        <v/>
      </c>
    </row>
    <row r="69">
      <c r="A69" t="inlineStr">
        <is>
          <t>Site Development</t>
        </is>
      </c>
      <c r="B69" t="inlineStr">
        <is>
          <t>Earthwork &amp; Levelling</t>
        </is>
      </c>
      <c r="C69" s="8">
        <f>SUMIFS(Jan2026!K3:K100,Jan2026!L3:L100,$A69,Jan2026!M3:M100,$B69)+SUMIFS(Feb2026!K3:K100,Feb2026!L3:L100,$A69,Feb2026!M3:M100,$B69)+SUMIFS(Mar2026!K3:K100,Mar2026!L3:L100,$A69,Mar2026!M3:M100,$B69)+SUMIFS(Apr2026!K3:K100,Apr2026!L3:L100,$A69,Apr2026!M3:M100,$B69)+SUMIFS(May2026!K3:K100,May2026!L3:L100,$A69,May2026!M3:M100,$B69)+SUMIFS(Jun2026!K3:K100,Jun2026!L3:L100,$A69,Jun2026!M3:M100,$B69)+SUMIFS(Jul2026!K3:K100,Jul2026!L3:L100,$A69,Jul2026!M3:M100,$B69)+SUMIFS(Aug2026!K3:K100,Aug2026!L3:L100,$A69,Aug2026!M3:M100,$B69)+SUMIFS(Sep2026!K3:K100,Sep2026!L3:L100,$A69,Sep2026!M3:M100,$B69)+SUMIFS(Oct2026!K3:K100,Oct2026!L3:L100,$A69,Oct2026!M3:M100,$B69)+SUMIFS(Nov2026!K3:K100,Nov2026!L3:L100,$A69,Nov2026!M3:M100,$B69)+SUMIFS(Dec2026!K3:K100,Dec2026!L3:L100,$A69,Dec2026!M3:M100,$B69)</f>
        <v/>
      </c>
    </row>
    <row r="70">
      <c r="A70" t="inlineStr">
        <is>
          <t>Site Development</t>
        </is>
      </c>
      <c r="B70" t="inlineStr">
        <is>
          <t>Road Formation</t>
        </is>
      </c>
      <c r="C70" s="8">
        <f>SUMIFS(Jan2026!K3:K100,Jan2026!L3:L100,$A70,Jan2026!M3:M100,$B70)+SUMIFS(Feb2026!K3:K100,Feb2026!L3:L100,$A70,Feb2026!M3:M100,$B70)+SUMIFS(Mar2026!K3:K100,Mar2026!L3:L100,$A70,Mar2026!M3:M100,$B70)+SUMIFS(Apr2026!K3:K100,Apr2026!L3:L100,$A70,Apr2026!M3:M100,$B70)+SUMIFS(May2026!K3:K100,May2026!L3:L100,$A70,May2026!M3:M100,$B70)+SUMIFS(Jun2026!K3:K100,Jun2026!L3:L100,$A70,Jun2026!M3:M100,$B70)+SUMIFS(Jul2026!K3:K100,Jul2026!L3:L100,$A70,Jul2026!M3:M100,$B70)+SUMIFS(Aug2026!K3:K100,Aug2026!L3:L100,$A70,Aug2026!M3:M100,$B70)+SUMIFS(Sep2026!K3:K100,Sep2026!L3:L100,$A70,Sep2026!M3:M100,$B70)+SUMIFS(Oct2026!K3:K100,Oct2026!L3:L100,$A70,Oct2026!M3:M100,$B70)+SUMIFS(Nov2026!K3:K100,Nov2026!L3:L100,$A70,Nov2026!M3:M100,$B70)+SUMIFS(Dec2026!K3:K100,Dec2026!L3:L100,$A70,Dec2026!M3:M100,$B70)</f>
        <v/>
      </c>
    </row>
    <row r="71">
      <c r="A71" t="inlineStr">
        <is>
          <t>Site Development</t>
        </is>
      </c>
      <c r="B71" t="inlineStr">
        <is>
          <t>CC Roads</t>
        </is>
      </c>
      <c r="C71" s="8">
        <f>SUMIFS(Jan2026!K3:K100,Jan2026!L3:L100,$A71,Jan2026!M3:M100,$B71)+SUMIFS(Feb2026!K3:K100,Feb2026!L3:L100,$A71,Feb2026!M3:M100,$B71)+SUMIFS(Mar2026!K3:K100,Mar2026!L3:L100,$A71,Mar2026!M3:M100,$B71)+SUMIFS(Apr2026!K3:K100,Apr2026!L3:L100,$A71,Apr2026!M3:M100,$B71)+SUMIFS(May2026!K3:K100,May2026!L3:L100,$A71,May2026!M3:M100,$B71)+SUMIFS(Jun2026!K3:K100,Jun2026!L3:L100,$A71,Jun2026!M3:M100,$B71)+SUMIFS(Jul2026!K3:K100,Jul2026!L3:L100,$A71,Jul2026!M3:M100,$B71)+SUMIFS(Aug2026!K3:K100,Aug2026!L3:L100,$A71,Aug2026!M3:M100,$B71)+SUMIFS(Sep2026!K3:K100,Sep2026!L3:L100,$A71,Sep2026!M3:M100,$B71)+SUMIFS(Oct2026!K3:K100,Oct2026!L3:L100,$A71,Oct2026!M3:M100,$B71)+SUMIFS(Nov2026!K3:K100,Nov2026!L3:L100,$A71,Nov2026!M3:M100,$B71)+SUMIFS(Dec2026!K3:K100,Dec2026!L3:L100,$A71,Dec2026!M3:M100,$B71)</f>
        <v/>
      </c>
    </row>
    <row r="72">
      <c r="A72" t="inlineStr">
        <is>
          <t>Site Development</t>
        </is>
      </c>
      <c r="B72" t="inlineStr">
        <is>
          <t>Interlocking Pavers</t>
        </is>
      </c>
      <c r="C72" s="8">
        <f>SUMIFS(Jan2026!K3:K100,Jan2026!L3:L100,$A72,Jan2026!M3:M100,$B72)+SUMIFS(Feb2026!K3:K100,Feb2026!L3:L100,$A72,Feb2026!M3:M100,$B72)+SUMIFS(Mar2026!K3:K100,Mar2026!L3:L100,$A72,Mar2026!M3:M100,$B72)+SUMIFS(Apr2026!K3:K100,Apr2026!L3:L100,$A72,Apr2026!M3:M100,$B72)+SUMIFS(May2026!K3:K100,May2026!L3:L100,$A72,May2026!M3:M100,$B72)+SUMIFS(Jun2026!K3:K100,Jun2026!L3:L100,$A72,Jun2026!M3:M100,$B72)+SUMIFS(Jul2026!K3:K100,Jul2026!L3:L100,$A72,Jul2026!M3:M100,$B72)+SUMIFS(Aug2026!K3:K100,Aug2026!L3:L100,$A72,Aug2026!M3:M100,$B72)+SUMIFS(Sep2026!K3:K100,Sep2026!L3:L100,$A72,Sep2026!M3:M100,$B72)+SUMIFS(Oct2026!K3:K100,Oct2026!L3:L100,$A72,Oct2026!M3:M100,$B72)+SUMIFS(Nov2026!K3:K100,Nov2026!L3:L100,$A72,Nov2026!M3:M100,$B72)+SUMIFS(Dec2026!K3:K100,Dec2026!L3:L100,$A72,Dec2026!M3:M100,$B72)</f>
        <v/>
      </c>
    </row>
    <row r="73">
      <c r="A73" t="inlineStr">
        <is>
          <t>Site Development</t>
        </is>
      </c>
      <c r="B73" t="inlineStr">
        <is>
          <t>Compound Wall</t>
        </is>
      </c>
      <c r="C73" s="8">
        <f>SUMIFS(Jan2026!K3:K100,Jan2026!L3:L100,$A73,Jan2026!M3:M100,$B73)+SUMIFS(Feb2026!K3:K100,Feb2026!L3:L100,$A73,Feb2026!M3:M100,$B73)+SUMIFS(Mar2026!K3:K100,Mar2026!L3:L100,$A73,Mar2026!M3:M100,$B73)+SUMIFS(Apr2026!K3:K100,Apr2026!L3:L100,$A73,Apr2026!M3:M100,$B73)+SUMIFS(May2026!K3:K100,May2026!L3:L100,$A73,May2026!M3:M100,$B73)+SUMIFS(Jun2026!K3:K100,Jun2026!L3:L100,$A73,Jun2026!M3:M100,$B73)+SUMIFS(Jul2026!K3:K100,Jul2026!L3:L100,$A73,Jul2026!M3:M100,$B73)+SUMIFS(Aug2026!K3:K100,Aug2026!L3:L100,$A73,Aug2026!M3:M100,$B73)+SUMIFS(Sep2026!K3:K100,Sep2026!L3:L100,$A73,Sep2026!M3:M100,$B73)+SUMIFS(Oct2026!K3:K100,Oct2026!L3:L100,$A73,Oct2026!M3:M100,$B73)+SUMIFS(Nov2026!K3:K100,Nov2026!L3:L100,$A73,Nov2026!M3:M100,$B73)+SUMIFS(Dec2026!K3:K100,Dec2026!L3:L100,$A73,Dec2026!M3:M100,$B73)</f>
        <v/>
      </c>
    </row>
    <row r="74">
      <c r="A74" t="inlineStr">
        <is>
          <t>Site Development</t>
        </is>
      </c>
      <c r="B74" t="inlineStr">
        <is>
          <t>Entrance Gate</t>
        </is>
      </c>
      <c r="C74" s="8">
        <f>SUMIFS(Jan2026!K3:K100,Jan2026!L3:L100,$A74,Jan2026!M3:M100,$B74)+SUMIFS(Feb2026!K3:K100,Feb2026!L3:L100,$A74,Feb2026!M3:M100,$B74)+SUMIFS(Mar2026!K3:K100,Mar2026!L3:L100,$A74,Mar2026!M3:M100,$B74)+SUMIFS(Apr2026!K3:K100,Apr2026!L3:L100,$A74,Apr2026!M3:M100,$B74)+SUMIFS(May2026!K3:K100,May2026!L3:L100,$A74,May2026!M3:M100,$B74)+SUMIFS(Jun2026!K3:K100,Jun2026!L3:L100,$A74,Jun2026!M3:M100,$B74)+SUMIFS(Jul2026!K3:K100,Jul2026!L3:L100,$A74,Jul2026!M3:M100,$B74)+SUMIFS(Aug2026!K3:K100,Aug2026!L3:L100,$A74,Aug2026!M3:M100,$B74)+SUMIFS(Sep2026!K3:K100,Sep2026!L3:L100,$A74,Sep2026!M3:M100,$B74)+SUMIFS(Oct2026!K3:K100,Oct2026!L3:L100,$A74,Oct2026!M3:M100,$B74)+SUMIFS(Nov2026!K3:K100,Nov2026!L3:L100,$A74,Nov2026!M3:M100,$B74)+SUMIFS(Dec2026!K3:K100,Dec2026!L3:L100,$A74,Dec2026!M3:M100,$B74)</f>
        <v/>
      </c>
    </row>
    <row r="75">
      <c r="A75" t="inlineStr">
        <is>
          <t>Site Development</t>
        </is>
      </c>
      <c r="B75" t="inlineStr">
        <is>
          <t>Drainage</t>
        </is>
      </c>
      <c r="C75" s="8">
        <f>SUMIFS(Jan2026!K3:K100,Jan2026!L3:L100,$A75,Jan2026!M3:M100,$B75)+SUMIFS(Feb2026!K3:K100,Feb2026!L3:L100,$A75,Feb2026!M3:M100,$B75)+SUMIFS(Mar2026!K3:K100,Mar2026!L3:L100,$A75,Mar2026!M3:M100,$B75)+SUMIFS(Apr2026!K3:K100,Apr2026!L3:L100,$A75,Apr2026!M3:M100,$B75)+SUMIFS(May2026!K3:K100,May2026!L3:L100,$A75,May2026!M3:M100,$B75)+SUMIFS(Jun2026!K3:K100,Jun2026!L3:L100,$A75,Jun2026!M3:M100,$B75)+SUMIFS(Jul2026!K3:K100,Jul2026!L3:L100,$A75,Jul2026!M3:M100,$B75)+SUMIFS(Aug2026!K3:K100,Aug2026!L3:L100,$A75,Aug2026!M3:M100,$B75)+SUMIFS(Sep2026!K3:K100,Sep2026!L3:L100,$A75,Sep2026!M3:M100,$B75)+SUMIFS(Oct2026!K3:K100,Oct2026!L3:L100,$A75,Oct2026!M3:M100,$B75)+SUMIFS(Nov2026!K3:K100,Nov2026!L3:L100,$A75,Nov2026!M3:M100,$B75)+SUMIFS(Dec2026!K3:K100,Dec2026!L3:L100,$A75,Dec2026!M3:M100,$B75)</f>
        <v/>
      </c>
    </row>
    <row r="76">
      <c r="A76" t="inlineStr">
        <is>
          <t>Site Development</t>
        </is>
      </c>
      <c r="B76" t="inlineStr">
        <is>
          <t>Culverts</t>
        </is>
      </c>
      <c r="C76" s="8">
        <f>SUMIFS(Jan2026!K3:K100,Jan2026!L3:L100,$A76,Jan2026!M3:M100,$B76)+SUMIFS(Feb2026!K3:K100,Feb2026!L3:L100,$A76,Feb2026!M3:M100,$B76)+SUMIFS(Mar2026!K3:K100,Mar2026!L3:L100,$A76,Mar2026!M3:M100,$B76)+SUMIFS(Apr2026!K3:K100,Apr2026!L3:L100,$A76,Apr2026!M3:M100,$B76)+SUMIFS(May2026!K3:K100,May2026!L3:L100,$A76,May2026!M3:M100,$B76)+SUMIFS(Jun2026!K3:K100,Jun2026!L3:L100,$A76,Jun2026!M3:M100,$B76)+SUMIFS(Jul2026!K3:K100,Jul2026!L3:L100,$A76,Jul2026!M3:M100,$B76)+SUMIFS(Aug2026!K3:K100,Aug2026!L3:L100,$A76,Aug2026!M3:M100,$B76)+SUMIFS(Sep2026!K3:K100,Sep2026!L3:L100,$A76,Sep2026!M3:M100,$B76)+SUMIFS(Oct2026!K3:K100,Oct2026!L3:L100,$A76,Oct2026!M3:M100,$B76)+SUMIFS(Nov2026!K3:K100,Nov2026!L3:L100,$A76,Nov2026!M3:M100,$B76)+SUMIFS(Dec2026!K3:K100,Dec2026!L3:L100,$A76,Dec2026!M3:M100,$B76)</f>
        <v/>
      </c>
    </row>
    <row r="77">
      <c r="A77" t="inlineStr">
        <is>
          <t>Site Development</t>
        </is>
      </c>
      <c r="B77" t="inlineStr">
        <is>
          <t>Fabrication</t>
        </is>
      </c>
      <c r="C77" s="8">
        <f>SUMIFS(Jan2026!K3:K100,Jan2026!L3:L100,$A77,Jan2026!M3:M100,$B77)+SUMIFS(Feb2026!K3:K100,Feb2026!L3:L100,$A77,Feb2026!M3:M100,$B77)+SUMIFS(Mar2026!K3:K100,Mar2026!L3:L100,$A77,Mar2026!M3:M100,$B77)+SUMIFS(Apr2026!K3:K100,Apr2026!L3:L100,$A77,Apr2026!M3:M100,$B77)+SUMIFS(May2026!K3:K100,May2026!L3:L100,$A77,May2026!M3:M100,$B77)+SUMIFS(Jun2026!K3:K100,Jun2026!L3:L100,$A77,Jun2026!M3:M100,$B77)+SUMIFS(Jul2026!K3:K100,Jul2026!L3:L100,$A77,Jul2026!M3:M100,$B77)+SUMIFS(Aug2026!K3:K100,Aug2026!L3:L100,$A77,Aug2026!M3:M100,$B77)+SUMIFS(Sep2026!K3:K100,Sep2026!L3:L100,$A77,Sep2026!M3:M100,$B77)+SUMIFS(Oct2026!K3:K100,Oct2026!L3:L100,$A77,Oct2026!M3:M100,$B77)+SUMIFS(Nov2026!K3:K100,Nov2026!L3:L100,$A77,Nov2026!M3:M100,$B77)+SUMIFS(Dec2026!K3:K100,Dec2026!L3:L100,$A77,Dec2026!M3:M100,$B77)</f>
        <v/>
      </c>
    </row>
    <row r="78">
      <c r="A78" t="inlineStr">
        <is>
          <t>Site Development</t>
        </is>
      </c>
      <c r="B78" t="inlineStr">
        <is>
          <t>Centring</t>
        </is>
      </c>
      <c r="C78" s="8">
        <f>SUMIFS(Jan2026!K3:K100,Jan2026!L3:L100,$A78,Jan2026!M3:M100,$B78)+SUMIFS(Feb2026!K3:K100,Feb2026!L3:L100,$A78,Feb2026!M3:M100,$B78)+SUMIFS(Mar2026!K3:K100,Mar2026!L3:L100,$A78,Mar2026!M3:M100,$B78)+SUMIFS(Apr2026!K3:K100,Apr2026!L3:L100,$A78,Apr2026!M3:M100,$B78)+SUMIFS(May2026!K3:K100,May2026!L3:L100,$A78,May2026!M3:M100,$B78)+SUMIFS(Jun2026!K3:K100,Jun2026!L3:L100,$A78,Jun2026!M3:M100,$B78)+SUMIFS(Jul2026!K3:K100,Jul2026!L3:L100,$A78,Jul2026!M3:M100,$B78)+SUMIFS(Aug2026!K3:K100,Aug2026!L3:L100,$A78,Aug2026!M3:M100,$B78)+SUMIFS(Sep2026!K3:K100,Sep2026!L3:L100,$A78,Sep2026!M3:M100,$B78)+SUMIFS(Oct2026!K3:K100,Oct2026!L3:L100,$A78,Oct2026!M3:M100,$B78)+SUMIFS(Nov2026!K3:K100,Nov2026!L3:L100,$A78,Nov2026!M3:M100,$B78)+SUMIFS(Dec2026!K3:K100,Dec2026!L3:L100,$A78,Dec2026!M3:M100,$B78)</f>
        <v/>
      </c>
    </row>
    <row r="79">
      <c r="A79" t="inlineStr">
        <is>
          <t>Site Development</t>
        </is>
      </c>
      <c r="B79" t="inlineStr">
        <is>
          <t>Stamped Concrete</t>
        </is>
      </c>
      <c r="C79" s="8">
        <f>SUMIFS(Jan2026!K3:K100,Jan2026!L3:L100,$A79,Jan2026!M3:M100,$B79)+SUMIFS(Feb2026!K3:K100,Feb2026!L3:L100,$A79,Feb2026!M3:M100,$B79)+SUMIFS(Mar2026!K3:K100,Mar2026!L3:L100,$A79,Mar2026!M3:M100,$B79)+SUMIFS(Apr2026!K3:K100,Apr2026!L3:L100,$A79,Apr2026!M3:M100,$B79)+SUMIFS(May2026!K3:K100,May2026!L3:L100,$A79,May2026!M3:M100,$B79)+SUMIFS(Jun2026!K3:K100,Jun2026!L3:L100,$A79,Jun2026!M3:M100,$B79)+SUMIFS(Jul2026!K3:K100,Jul2026!L3:L100,$A79,Jul2026!M3:M100,$B79)+SUMIFS(Aug2026!K3:K100,Aug2026!L3:L100,$A79,Aug2026!M3:M100,$B79)+SUMIFS(Sep2026!K3:K100,Sep2026!L3:L100,$A79,Sep2026!M3:M100,$B79)+SUMIFS(Oct2026!K3:K100,Oct2026!L3:L100,$A79,Oct2026!M3:M100,$B79)+SUMIFS(Nov2026!K3:K100,Nov2026!L3:L100,$A79,Nov2026!M3:M100,$B79)+SUMIFS(Dec2026!K3:K100,Dec2026!L3:L100,$A79,Dec2026!M3:M100,$B79)</f>
        <v/>
      </c>
    </row>
    <row r="80">
      <c r="A80" t="inlineStr">
        <is>
          <t>Site Development</t>
        </is>
      </c>
      <c r="B80" t="inlineStr">
        <is>
          <t>Street Lamps</t>
        </is>
      </c>
      <c r="C80" s="8">
        <f>SUMIFS(Jan2026!K3:K100,Jan2026!L3:L100,$A80,Jan2026!M3:M100,$B80)+SUMIFS(Feb2026!K3:K100,Feb2026!L3:L100,$A80,Feb2026!M3:M100,$B80)+SUMIFS(Mar2026!K3:K100,Mar2026!L3:L100,$A80,Mar2026!M3:M100,$B80)+SUMIFS(Apr2026!K3:K100,Apr2026!L3:L100,$A80,Apr2026!M3:M100,$B80)+SUMIFS(May2026!K3:K100,May2026!L3:L100,$A80,May2026!M3:M100,$B80)+SUMIFS(Jun2026!K3:K100,Jun2026!L3:L100,$A80,Jun2026!M3:M100,$B80)+SUMIFS(Jul2026!K3:K100,Jul2026!L3:L100,$A80,Jul2026!M3:M100,$B80)+SUMIFS(Aug2026!K3:K100,Aug2026!L3:L100,$A80,Aug2026!M3:M100,$B80)+SUMIFS(Sep2026!K3:K100,Sep2026!L3:L100,$A80,Sep2026!M3:M100,$B80)+SUMIFS(Oct2026!K3:K100,Oct2026!L3:L100,$A80,Oct2026!M3:M100,$B80)+SUMIFS(Nov2026!K3:K100,Nov2026!L3:L100,$A80,Nov2026!M3:M100,$B80)+SUMIFS(Dec2026!K3:K100,Dec2026!L3:L100,$A80,Dec2026!M3:M100,$B80)</f>
        <v/>
      </c>
    </row>
    <row r="81">
      <c r="A81" t="inlineStr">
        <is>
          <t>Utilities</t>
        </is>
      </c>
      <c r="B81" t="inlineStr">
        <is>
          <t>Borewell</t>
        </is>
      </c>
      <c r="C81" s="8">
        <f>SUMIFS(Jan2026!K3:K100,Jan2026!L3:L100,$A81,Jan2026!M3:M100,$B81)+SUMIFS(Feb2026!K3:K100,Feb2026!L3:L100,$A81,Feb2026!M3:M100,$B81)+SUMIFS(Mar2026!K3:K100,Mar2026!L3:L100,$A81,Mar2026!M3:M100,$B81)+SUMIFS(Apr2026!K3:K100,Apr2026!L3:L100,$A81,Apr2026!M3:M100,$B81)+SUMIFS(May2026!K3:K100,May2026!L3:L100,$A81,May2026!M3:M100,$B81)+SUMIFS(Jun2026!K3:K100,Jun2026!L3:L100,$A81,Jun2026!M3:M100,$B81)+SUMIFS(Jul2026!K3:K100,Jul2026!L3:L100,$A81,Jul2026!M3:M100,$B81)+SUMIFS(Aug2026!K3:K100,Aug2026!L3:L100,$A81,Aug2026!M3:M100,$B81)+SUMIFS(Sep2026!K3:K100,Sep2026!L3:L100,$A81,Sep2026!M3:M100,$B81)+SUMIFS(Oct2026!K3:K100,Oct2026!L3:L100,$A81,Oct2026!M3:M100,$B81)+SUMIFS(Nov2026!K3:K100,Nov2026!L3:L100,$A81,Nov2026!M3:M100,$B81)+SUMIFS(Dec2026!K3:K100,Dec2026!L3:L100,$A81,Dec2026!M3:M100,$B81)</f>
        <v/>
      </c>
    </row>
    <row r="82">
      <c r="A82" t="inlineStr">
        <is>
          <t>Utilities</t>
        </is>
      </c>
      <c r="B82" t="inlineStr">
        <is>
          <t>Water Pipelines</t>
        </is>
      </c>
      <c r="C82" s="8">
        <f>SUMIFS(Jan2026!K3:K100,Jan2026!L3:L100,$A82,Jan2026!M3:M100,$B82)+SUMIFS(Feb2026!K3:K100,Feb2026!L3:L100,$A82,Feb2026!M3:M100,$B82)+SUMIFS(Mar2026!K3:K100,Mar2026!L3:L100,$A82,Mar2026!M3:M100,$B82)+SUMIFS(Apr2026!K3:K100,Apr2026!L3:L100,$A82,Apr2026!M3:M100,$B82)+SUMIFS(May2026!K3:K100,May2026!L3:L100,$A82,May2026!M3:M100,$B82)+SUMIFS(Jun2026!K3:K100,Jun2026!L3:L100,$A82,Jun2026!M3:M100,$B82)+SUMIFS(Jul2026!K3:K100,Jul2026!L3:L100,$A82,Jul2026!M3:M100,$B82)+SUMIFS(Aug2026!K3:K100,Aug2026!L3:L100,$A82,Aug2026!M3:M100,$B82)+SUMIFS(Sep2026!K3:K100,Sep2026!L3:L100,$A82,Sep2026!M3:M100,$B82)+SUMIFS(Oct2026!K3:K100,Oct2026!L3:L100,$A82,Oct2026!M3:M100,$B82)+SUMIFS(Nov2026!K3:K100,Nov2026!L3:L100,$A82,Nov2026!M3:M100,$B82)+SUMIFS(Dec2026!K3:K100,Dec2026!L3:L100,$A82,Dec2026!M3:M100,$B82)</f>
        <v/>
      </c>
    </row>
    <row r="83">
      <c r="A83" t="inlineStr">
        <is>
          <t>Utilities</t>
        </is>
      </c>
      <c r="B83" t="inlineStr">
        <is>
          <t>Water Tank</t>
        </is>
      </c>
      <c r="C83" s="8">
        <f>SUMIFS(Jan2026!K3:K100,Jan2026!L3:L100,$A83,Jan2026!M3:M100,$B83)+SUMIFS(Feb2026!K3:K100,Feb2026!L3:L100,$A83,Feb2026!M3:M100,$B83)+SUMIFS(Mar2026!K3:K100,Mar2026!L3:L100,$A83,Mar2026!M3:M100,$B83)+SUMIFS(Apr2026!K3:K100,Apr2026!L3:L100,$A83,Apr2026!M3:M100,$B83)+SUMIFS(May2026!K3:K100,May2026!L3:L100,$A83,May2026!M3:M100,$B83)+SUMIFS(Jun2026!K3:K100,Jun2026!L3:L100,$A83,Jun2026!M3:M100,$B83)+SUMIFS(Jul2026!K3:K100,Jul2026!L3:L100,$A83,Jul2026!M3:M100,$B83)+SUMIFS(Aug2026!K3:K100,Aug2026!L3:L100,$A83,Aug2026!M3:M100,$B83)+SUMIFS(Sep2026!K3:K100,Sep2026!L3:L100,$A83,Sep2026!M3:M100,$B83)+SUMIFS(Oct2026!K3:K100,Oct2026!L3:L100,$A83,Oct2026!M3:M100,$B83)+SUMIFS(Nov2026!K3:K100,Nov2026!L3:L100,$A83,Nov2026!M3:M100,$B83)+SUMIFS(Dec2026!K3:K100,Dec2026!L3:L100,$A83,Dec2026!M3:M100,$B83)</f>
        <v/>
      </c>
    </row>
    <row r="84">
      <c r="A84" t="inlineStr">
        <is>
          <t>Utilities</t>
        </is>
      </c>
      <c r="B84" t="inlineStr">
        <is>
          <t>Electricity Connection</t>
        </is>
      </c>
      <c r="C84" s="8">
        <f>SUMIFS(Jan2026!K3:K100,Jan2026!L3:L100,$A84,Jan2026!M3:M100,$B84)+SUMIFS(Feb2026!K3:K100,Feb2026!L3:L100,$A84,Feb2026!M3:M100,$B84)+SUMIFS(Mar2026!K3:K100,Mar2026!L3:L100,$A84,Mar2026!M3:M100,$B84)+SUMIFS(Apr2026!K3:K100,Apr2026!L3:L100,$A84,Apr2026!M3:M100,$B84)+SUMIFS(May2026!K3:K100,May2026!L3:L100,$A84,May2026!M3:M100,$B84)+SUMIFS(Jun2026!K3:K100,Jun2026!L3:L100,$A84,Jun2026!M3:M100,$B84)+SUMIFS(Jul2026!K3:K100,Jul2026!L3:L100,$A84,Jul2026!M3:M100,$B84)+SUMIFS(Aug2026!K3:K100,Aug2026!L3:L100,$A84,Aug2026!M3:M100,$B84)+SUMIFS(Sep2026!K3:K100,Sep2026!L3:L100,$A84,Sep2026!M3:M100,$B84)+SUMIFS(Oct2026!K3:K100,Oct2026!L3:L100,$A84,Oct2026!M3:M100,$B84)+SUMIFS(Nov2026!K3:K100,Nov2026!L3:L100,$A84,Nov2026!M3:M100,$B84)+SUMIFS(Dec2026!K3:K100,Dec2026!L3:L100,$A84,Dec2026!M3:M100,$B84)</f>
        <v/>
      </c>
    </row>
    <row r="85">
      <c r="A85" t="inlineStr">
        <is>
          <t>Utilities</t>
        </is>
      </c>
      <c r="B85" t="inlineStr">
        <is>
          <t>Transformer</t>
        </is>
      </c>
      <c r="C85" s="8">
        <f>SUMIFS(Jan2026!K3:K100,Jan2026!L3:L100,$A85,Jan2026!M3:M100,$B85)+SUMIFS(Feb2026!K3:K100,Feb2026!L3:L100,$A85,Feb2026!M3:M100,$B85)+SUMIFS(Mar2026!K3:K100,Mar2026!L3:L100,$A85,Mar2026!M3:M100,$B85)+SUMIFS(Apr2026!K3:K100,Apr2026!L3:L100,$A85,Apr2026!M3:M100,$B85)+SUMIFS(May2026!K3:K100,May2026!L3:L100,$A85,May2026!M3:M100,$B85)+SUMIFS(Jun2026!K3:K100,Jun2026!L3:L100,$A85,Jun2026!M3:M100,$B85)+SUMIFS(Jul2026!K3:K100,Jul2026!L3:L100,$A85,Jul2026!M3:M100,$B85)+SUMIFS(Aug2026!K3:K100,Aug2026!L3:L100,$A85,Aug2026!M3:M100,$B85)+SUMIFS(Sep2026!K3:K100,Sep2026!L3:L100,$A85,Sep2026!M3:M100,$B85)+SUMIFS(Oct2026!K3:K100,Oct2026!L3:L100,$A85,Oct2026!M3:M100,$B85)+SUMIFS(Nov2026!K3:K100,Nov2026!L3:L100,$A85,Nov2026!M3:M100,$B85)+SUMIFS(Dec2026!K3:K100,Dec2026!L3:L100,$A85,Dec2026!M3:M100,$B85)</f>
        <v/>
      </c>
    </row>
    <row r="86">
      <c r="A86" t="inlineStr">
        <is>
          <t>Utilities</t>
        </is>
      </c>
      <c r="B86" t="inlineStr">
        <is>
          <t>Street Lights</t>
        </is>
      </c>
      <c r="C86" s="8">
        <f>SUMIFS(Jan2026!K3:K100,Jan2026!L3:L100,$A86,Jan2026!M3:M100,$B86)+SUMIFS(Feb2026!K3:K100,Feb2026!L3:L100,$A86,Feb2026!M3:M100,$B86)+SUMIFS(Mar2026!K3:K100,Mar2026!L3:L100,$A86,Mar2026!M3:M100,$B86)+SUMIFS(Apr2026!K3:K100,Apr2026!L3:L100,$A86,Apr2026!M3:M100,$B86)+SUMIFS(May2026!K3:K100,May2026!L3:L100,$A86,May2026!M3:M100,$B86)+SUMIFS(Jun2026!K3:K100,Jun2026!L3:L100,$A86,Jun2026!M3:M100,$B86)+SUMIFS(Jul2026!K3:K100,Jul2026!L3:L100,$A86,Jul2026!M3:M100,$B86)+SUMIFS(Aug2026!K3:K100,Aug2026!L3:L100,$A86,Aug2026!M3:M100,$B86)+SUMIFS(Sep2026!K3:K100,Sep2026!L3:L100,$A86,Sep2026!M3:M100,$B86)+SUMIFS(Oct2026!K3:K100,Oct2026!L3:L100,$A86,Oct2026!M3:M100,$B86)+SUMIFS(Nov2026!K3:K100,Nov2026!L3:L100,$A86,Nov2026!M3:M100,$B86)+SUMIFS(Dec2026!K3:K100,Dec2026!L3:L100,$A86,Dec2026!M3:M100,$B86)</f>
        <v/>
      </c>
    </row>
    <row r="87">
      <c r="A87" t="inlineStr">
        <is>
          <t>Utilities</t>
        </is>
      </c>
      <c r="B87" t="inlineStr">
        <is>
          <t>Generator</t>
        </is>
      </c>
      <c r="C87" s="8">
        <f>SUMIFS(Jan2026!K3:K100,Jan2026!L3:L100,$A87,Jan2026!M3:M100,$B87)+SUMIFS(Feb2026!K3:K100,Feb2026!L3:L100,$A87,Feb2026!M3:M100,$B87)+SUMIFS(Mar2026!K3:K100,Mar2026!L3:L100,$A87,Mar2026!M3:M100,$B87)+SUMIFS(Apr2026!K3:K100,Apr2026!L3:L100,$A87,Apr2026!M3:M100,$B87)+SUMIFS(May2026!K3:K100,May2026!L3:L100,$A87,May2026!M3:M100,$B87)+SUMIFS(Jun2026!K3:K100,Jun2026!L3:L100,$A87,Jun2026!M3:M100,$B87)+SUMIFS(Jul2026!K3:K100,Jul2026!L3:L100,$A87,Jul2026!M3:M100,$B87)+SUMIFS(Aug2026!K3:K100,Aug2026!L3:L100,$A87,Aug2026!M3:M100,$B87)+SUMIFS(Sep2026!K3:K100,Sep2026!L3:L100,$A87,Sep2026!M3:M100,$B87)+SUMIFS(Oct2026!K3:K100,Oct2026!L3:L100,$A87,Oct2026!M3:M100,$B87)+SUMIFS(Nov2026!K3:K100,Nov2026!L3:L100,$A87,Nov2026!M3:M100,$B87)+SUMIFS(Dec2026!K3:K100,Dec2026!L3:L100,$A87,Dec2026!M3:M100,$B87)</f>
        <v/>
      </c>
    </row>
    <row r="88">
      <c r="A88" t="inlineStr">
        <is>
          <t>Landscaping</t>
        </is>
      </c>
      <c r="B88" t="inlineStr">
        <is>
          <t>Plantation</t>
        </is>
      </c>
      <c r="C88" s="8">
        <f>SUMIFS(Jan2026!K3:K100,Jan2026!L3:L100,$A88,Jan2026!M3:M100,$B88)+SUMIFS(Feb2026!K3:K100,Feb2026!L3:L100,$A88,Feb2026!M3:M100,$B88)+SUMIFS(Mar2026!K3:K100,Mar2026!L3:L100,$A88,Mar2026!M3:M100,$B88)+SUMIFS(Apr2026!K3:K100,Apr2026!L3:L100,$A88,Apr2026!M3:M100,$B88)+SUMIFS(May2026!K3:K100,May2026!L3:L100,$A88,May2026!M3:M100,$B88)+SUMIFS(Jun2026!K3:K100,Jun2026!L3:L100,$A88,Jun2026!M3:M100,$B88)+SUMIFS(Jul2026!K3:K100,Jul2026!L3:L100,$A88,Jul2026!M3:M100,$B88)+SUMIFS(Aug2026!K3:K100,Aug2026!L3:L100,$A88,Aug2026!M3:M100,$B88)+SUMIFS(Sep2026!K3:K100,Sep2026!L3:L100,$A88,Sep2026!M3:M100,$B88)+SUMIFS(Oct2026!K3:K100,Oct2026!L3:L100,$A88,Oct2026!M3:M100,$B88)+SUMIFS(Nov2026!K3:K100,Nov2026!L3:L100,$A88,Nov2026!M3:M100,$B88)+SUMIFS(Dec2026!K3:K100,Dec2026!L3:L100,$A88,Dec2026!M3:M100,$B88)</f>
        <v/>
      </c>
    </row>
    <row r="89">
      <c r="A89" t="inlineStr">
        <is>
          <t>Landscaping</t>
        </is>
      </c>
      <c r="B89" t="inlineStr">
        <is>
          <t>Miyawaki Forest</t>
        </is>
      </c>
      <c r="C89" s="8">
        <f>SUMIFS(Jan2026!K3:K100,Jan2026!L3:L100,$A89,Jan2026!M3:M100,$B89)+SUMIFS(Feb2026!K3:K100,Feb2026!L3:L100,$A89,Feb2026!M3:M100,$B89)+SUMIFS(Mar2026!K3:K100,Mar2026!L3:L100,$A89,Mar2026!M3:M100,$B89)+SUMIFS(Apr2026!K3:K100,Apr2026!L3:L100,$A89,Apr2026!M3:M100,$B89)+SUMIFS(May2026!K3:K100,May2026!L3:L100,$A89,May2026!M3:M100,$B89)+SUMIFS(Jun2026!K3:K100,Jun2026!L3:L100,$A89,Jun2026!M3:M100,$B89)+SUMIFS(Jul2026!K3:K100,Jul2026!L3:L100,$A89,Jul2026!M3:M100,$B89)+SUMIFS(Aug2026!K3:K100,Aug2026!L3:L100,$A89,Aug2026!M3:M100,$B89)+SUMIFS(Sep2026!K3:K100,Sep2026!L3:L100,$A89,Sep2026!M3:M100,$B89)+SUMIFS(Oct2026!K3:K100,Oct2026!L3:L100,$A89,Oct2026!M3:M100,$B89)+SUMIFS(Nov2026!K3:K100,Nov2026!L3:L100,$A89,Nov2026!M3:M100,$B89)+SUMIFS(Dec2026!K3:K100,Dec2026!L3:L100,$A89,Dec2026!M3:M100,$B89)</f>
        <v/>
      </c>
    </row>
    <row r="90">
      <c r="A90" t="inlineStr">
        <is>
          <t>Landscaping</t>
        </is>
      </c>
      <c r="B90" t="inlineStr">
        <is>
          <t>Lawn Development</t>
        </is>
      </c>
      <c r="C90" s="8">
        <f>SUMIFS(Jan2026!K3:K100,Jan2026!L3:L100,$A90,Jan2026!M3:M100,$B90)+SUMIFS(Feb2026!K3:K100,Feb2026!L3:L100,$A90,Feb2026!M3:M100,$B90)+SUMIFS(Mar2026!K3:K100,Mar2026!L3:L100,$A90,Mar2026!M3:M100,$B90)+SUMIFS(Apr2026!K3:K100,Apr2026!L3:L100,$A90,Apr2026!M3:M100,$B90)+SUMIFS(May2026!K3:K100,May2026!L3:L100,$A90,May2026!M3:M100,$B90)+SUMIFS(Jun2026!K3:K100,Jun2026!L3:L100,$A90,Jun2026!M3:M100,$B90)+SUMIFS(Jul2026!K3:K100,Jul2026!L3:L100,$A90,Jul2026!M3:M100,$B90)+SUMIFS(Aug2026!K3:K100,Aug2026!L3:L100,$A90,Aug2026!M3:M100,$B90)+SUMIFS(Sep2026!K3:K100,Sep2026!L3:L100,$A90,Sep2026!M3:M100,$B90)+SUMIFS(Oct2026!K3:K100,Oct2026!L3:L100,$A90,Oct2026!M3:M100,$B90)+SUMIFS(Nov2026!K3:K100,Nov2026!L3:L100,$A90,Nov2026!M3:M100,$B90)+SUMIFS(Dec2026!K3:K100,Dec2026!L3:L100,$A90,Dec2026!M3:M100,$B90)</f>
        <v/>
      </c>
    </row>
    <row r="91">
      <c r="A91" t="inlineStr">
        <is>
          <t>Landscaping</t>
        </is>
      </c>
      <c r="B91" t="inlineStr">
        <is>
          <t>Irrigation/Drip System</t>
        </is>
      </c>
      <c r="C91" s="8">
        <f>SUMIFS(Jan2026!K3:K100,Jan2026!L3:L100,$A91,Jan2026!M3:M100,$B91)+SUMIFS(Feb2026!K3:K100,Feb2026!L3:L100,$A91,Feb2026!M3:M100,$B91)+SUMIFS(Mar2026!K3:K100,Mar2026!L3:L100,$A91,Mar2026!M3:M100,$B91)+SUMIFS(Apr2026!K3:K100,Apr2026!L3:L100,$A91,Apr2026!M3:M100,$B91)+SUMIFS(May2026!K3:K100,May2026!L3:L100,$A91,May2026!M3:M100,$B91)+SUMIFS(Jun2026!K3:K100,Jun2026!L3:L100,$A91,Jun2026!M3:M100,$B91)+SUMIFS(Jul2026!K3:K100,Jul2026!L3:L100,$A91,Jul2026!M3:M100,$B91)+SUMIFS(Aug2026!K3:K100,Aug2026!L3:L100,$A91,Aug2026!M3:M100,$B91)+SUMIFS(Sep2026!K3:K100,Sep2026!L3:L100,$A91,Sep2026!M3:M100,$B91)+SUMIFS(Oct2026!K3:K100,Oct2026!L3:L100,$A91,Oct2026!M3:M100,$B91)+SUMIFS(Nov2026!K3:K100,Nov2026!L3:L100,$A91,Nov2026!M3:M100,$B91)+SUMIFS(Dec2026!K3:K100,Dec2026!L3:L100,$A91,Dec2026!M3:M100,$B91)</f>
        <v/>
      </c>
    </row>
    <row r="92">
      <c r="A92" t="inlineStr">
        <is>
          <t>Landscaping</t>
        </is>
      </c>
      <c r="B92" t="inlineStr">
        <is>
          <t>Garden Maintenance</t>
        </is>
      </c>
      <c r="C92" s="8">
        <f>SUMIFS(Jan2026!K3:K100,Jan2026!L3:L100,$A92,Jan2026!M3:M100,$B92)+SUMIFS(Feb2026!K3:K100,Feb2026!L3:L100,$A92,Feb2026!M3:M100,$B92)+SUMIFS(Mar2026!K3:K100,Mar2026!L3:L100,$A92,Mar2026!M3:M100,$B92)+SUMIFS(Apr2026!K3:K100,Apr2026!L3:L100,$A92,Apr2026!M3:M100,$B92)+SUMIFS(May2026!K3:K100,May2026!L3:L100,$A92,May2026!M3:M100,$B92)+SUMIFS(Jun2026!K3:K100,Jun2026!L3:L100,$A92,Jun2026!M3:M100,$B92)+SUMIFS(Jul2026!K3:K100,Jul2026!L3:L100,$A92,Jul2026!M3:M100,$B92)+SUMIFS(Aug2026!K3:K100,Aug2026!L3:L100,$A92,Aug2026!M3:M100,$B92)+SUMIFS(Sep2026!K3:K100,Sep2026!L3:L100,$A92,Sep2026!M3:M100,$B92)+SUMIFS(Oct2026!K3:K100,Oct2026!L3:L100,$A92,Oct2026!M3:M100,$B92)+SUMIFS(Nov2026!K3:K100,Nov2026!L3:L100,$A92,Nov2026!M3:M100,$B92)+SUMIFS(Dec2026!K3:K100,Dec2026!L3:L100,$A92,Dec2026!M3:M100,$B92)</f>
        <v/>
      </c>
    </row>
    <row r="93">
      <c r="A93" t="inlineStr">
        <is>
          <t>Landscaping</t>
        </is>
      </c>
      <c r="B93" t="inlineStr">
        <is>
          <t>Avenue Plantation</t>
        </is>
      </c>
      <c r="C93" s="8">
        <f>SUMIFS(Jan2026!K3:K100,Jan2026!L3:L100,$A93,Jan2026!M3:M100,$B93)+SUMIFS(Feb2026!K3:K100,Feb2026!L3:L100,$A93,Feb2026!M3:M100,$B93)+SUMIFS(Mar2026!K3:K100,Mar2026!L3:L100,$A93,Mar2026!M3:M100,$B93)+SUMIFS(Apr2026!K3:K100,Apr2026!L3:L100,$A93,Apr2026!M3:M100,$B93)+SUMIFS(May2026!K3:K100,May2026!L3:L100,$A93,May2026!M3:M100,$B93)+SUMIFS(Jun2026!K3:K100,Jun2026!L3:L100,$A93,Jun2026!M3:M100,$B93)+SUMIFS(Jul2026!K3:K100,Jul2026!L3:L100,$A93,Jul2026!M3:M100,$B93)+SUMIFS(Aug2026!K3:K100,Aug2026!L3:L100,$A93,Aug2026!M3:M100,$B93)+SUMIFS(Sep2026!K3:K100,Sep2026!L3:L100,$A93,Sep2026!M3:M100,$B93)+SUMIFS(Oct2026!K3:K100,Oct2026!L3:L100,$A93,Oct2026!M3:M100,$B93)+SUMIFS(Nov2026!K3:K100,Nov2026!L3:L100,$A93,Nov2026!M3:M100,$B93)+SUMIFS(Dec2026!K3:K100,Dec2026!L3:L100,$A93,Dec2026!M3:M100,$B93)</f>
        <v/>
      </c>
    </row>
    <row r="94">
      <c r="A94" t="inlineStr">
        <is>
          <t>Buildings &amp; Amenities</t>
        </is>
      </c>
      <c r="B94" t="inlineStr">
        <is>
          <t>Security Room</t>
        </is>
      </c>
      <c r="C94" s="8">
        <f>SUMIFS(Jan2026!K3:K100,Jan2026!L3:L100,$A94,Jan2026!M3:M100,$B94)+SUMIFS(Feb2026!K3:K100,Feb2026!L3:L100,$A94,Feb2026!M3:M100,$B94)+SUMIFS(Mar2026!K3:K100,Mar2026!L3:L100,$A94,Mar2026!M3:M100,$B94)+SUMIFS(Apr2026!K3:K100,Apr2026!L3:L100,$A94,Apr2026!M3:M100,$B94)+SUMIFS(May2026!K3:K100,May2026!L3:L100,$A94,May2026!M3:M100,$B94)+SUMIFS(Jun2026!K3:K100,Jun2026!L3:L100,$A94,Jun2026!M3:M100,$B94)+SUMIFS(Jul2026!K3:K100,Jul2026!L3:L100,$A94,Jul2026!M3:M100,$B94)+SUMIFS(Aug2026!K3:K100,Aug2026!L3:L100,$A94,Aug2026!M3:M100,$B94)+SUMIFS(Sep2026!K3:K100,Sep2026!L3:L100,$A94,Sep2026!M3:M100,$B94)+SUMIFS(Oct2026!K3:K100,Oct2026!L3:L100,$A94,Oct2026!M3:M100,$B94)+SUMIFS(Nov2026!K3:K100,Nov2026!L3:L100,$A94,Nov2026!M3:M100,$B94)+SUMIFS(Dec2026!K3:K100,Dec2026!L3:L100,$A94,Dec2026!M3:M100,$B94)</f>
        <v/>
      </c>
    </row>
    <row r="95">
      <c r="A95" t="inlineStr">
        <is>
          <t>Buildings &amp; Amenities</t>
        </is>
      </c>
      <c r="B95" t="inlineStr">
        <is>
          <t>Site Office</t>
        </is>
      </c>
      <c r="C95" s="8">
        <f>SUMIFS(Jan2026!K3:K100,Jan2026!L3:L100,$A95,Jan2026!M3:M100,$B95)+SUMIFS(Feb2026!K3:K100,Feb2026!L3:L100,$A95,Feb2026!M3:M100,$B95)+SUMIFS(Mar2026!K3:K100,Mar2026!L3:L100,$A95,Mar2026!M3:M100,$B95)+SUMIFS(Apr2026!K3:K100,Apr2026!L3:L100,$A95,Apr2026!M3:M100,$B95)+SUMIFS(May2026!K3:K100,May2026!L3:L100,$A95,May2026!M3:M100,$B95)+SUMIFS(Jun2026!K3:K100,Jun2026!L3:L100,$A95,Jun2026!M3:M100,$B95)+SUMIFS(Jul2026!K3:K100,Jul2026!L3:L100,$A95,Jul2026!M3:M100,$B95)+SUMIFS(Aug2026!K3:K100,Aug2026!L3:L100,$A95,Aug2026!M3:M100,$B95)+SUMIFS(Sep2026!K3:K100,Sep2026!L3:L100,$A95,Sep2026!M3:M100,$B95)+SUMIFS(Oct2026!K3:K100,Oct2026!L3:L100,$A95,Oct2026!M3:M100,$B95)+SUMIFS(Nov2026!K3:K100,Nov2026!L3:L100,$A95,Nov2026!M3:M100,$B95)+SUMIFS(Dec2026!K3:K100,Dec2026!L3:L100,$A95,Dec2026!M3:M100,$B95)</f>
        <v/>
      </c>
    </row>
    <row r="96">
      <c r="A96" t="inlineStr">
        <is>
          <t>Buildings &amp; Amenities</t>
        </is>
      </c>
      <c r="B96" t="inlineStr">
        <is>
          <t>Clubhouse</t>
        </is>
      </c>
      <c r="C96" s="8">
        <f>SUMIFS(Jan2026!K3:K100,Jan2026!L3:L100,$A96,Jan2026!M3:M100,$B96)+SUMIFS(Feb2026!K3:K100,Feb2026!L3:L100,$A96,Feb2026!M3:M100,$B96)+SUMIFS(Mar2026!K3:K100,Mar2026!L3:L100,$A96,Mar2026!M3:M100,$B96)+SUMIFS(Apr2026!K3:K100,Apr2026!L3:L100,$A96,Apr2026!M3:M100,$B96)+SUMIFS(May2026!K3:K100,May2026!L3:L100,$A96,May2026!M3:M100,$B96)+SUMIFS(Jun2026!K3:K100,Jun2026!L3:L100,$A96,Jun2026!M3:M100,$B96)+SUMIFS(Jul2026!K3:K100,Jul2026!L3:L100,$A96,Jul2026!M3:M100,$B96)+SUMIFS(Aug2026!K3:K100,Aug2026!L3:L100,$A96,Aug2026!M3:M100,$B96)+SUMIFS(Sep2026!K3:K100,Sep2026!L3:L100,$A96,Sep2026!M3:M100,$B96)+SUMIFS(Oct2026!K3:K100,Oct2026!L3:L100,$A96,Oct2026!M3:M100,$B96)+SUMIFS(Nov2026!K3:K100,Nov2026!L3:L100,$A96,Nov2026!M3:M100,$B96)+SUMIFS(Dec2026!K3:K100,Dec2026!L3:L100,$A96,Dec2026!M3:M100,$B96)</f>
        <v/>
      </c>
    </row>
    <row r="97">
      <c r="A97" t="inlineStr">
        <is>
          <t>Buildings &amp; Amenities</t>
        </is>
      </c>
      <c r="B97" t="inlineStr">
        <is>
          <t>Swimming Pool</t>
        </is>
      </c>
      <c r="C97" s="8">
        <f>SUMIFS(Jan2026!K3:K100,Jan2026!L3:L100,$A97,Jan2026!M3:M100,$B97)+SUMIFS(Feb2026!K3:K100,Feb2026!L3:L100,$A97,Feb2026!M3:M100,$B97)+SUMIFS(Mar2026!K3:K100,Mar2026!L3:L100,$A97,Mar2026!M3:M100,$B97)+SUMIFS(Apr2026!K3:K100,Apr2026!L3:L100,$A97,Apr2026!M3:M100,$B97)+SUMIFS(May2026!K3:K100,May2026!L3:L100,$A97,May2026!M3:M100,$B97)+SUMIFS(Jun2026!K3:K100,Jun2026!L3:L100,$A97,Jun2026!M3:M100,$B97)+SUMIFS(Jul2026!K3:K100,Jul2026!L3:L100,$A97,Jul2026!M3:M100,$B97)+SUMIFS(Aug2026!K3:K100,Aug2026!L3:L100,$A97,Aug2026!M3:M100,$B97)+SUMIFS(Sep2026!K3:K100,Sep2026!L3:L100,$A97,Sep2026!M3:M100,$B97)+SUMIFS(Oct2026!K3:K100,Oct2026!L3:L100,$A97,Oct2026!M3:M100,$B97)+SUMIFS(Nov2026!K3:K100,Nov2026!L3:L100,$A97,Nov2026!M3:M100,$B97)+SUMIFS(Dec2026!K3:K100,Dec2026!L3:L100,$A97,Dec2026!M3:M100,$B97)</f>
        <v/>
      </c>
    </row>
    <row r="98">
      <c r="A98" t="inlineStr">
        <is>
          <t>Buildings &amp; Amenities</t>
        </is>
      </c>
      <c r="B98" t="inlineStr">
        <is>
          <t>Gazebo</t>
        </is>
      </c>
      <c r="C98" s="8">
        <f>SUMIFS(Jan2026!K3:K100,Jan2026!L3:L100,$A98,Jan2026!M3:M100,$B98)+SUMIFS(Feb2026!K3:K100,Feb2026!L3:L100,$A98,Feb2026!M3:M100,$B98)+SUMIFS(Mar2026!K3:K100,Mar2026!L3:L100,$A98,Mar2026!M3:M100,$B98)+SUMIFS(Apr2026!K3:K100,Apr2026!L3:L100,$A98,Apr2026!M3:M100,$B98)+SUMIFS(May2026!K3:K100,May2026!L3:L100,$A98,May2026!M3:M100,$B98)+SUMIFS(Jun2026!K3:K100,Jun2026!L3:L100,$A98,Jun2026!M3:M100,$B98)+SUMIFS(Jul2026!K3:K100,Jul2026!L3:L100,$A98,Jul2026!M3:M100,$B98)+SUMIFS(Aug2026!K3:K100,Aug2026!L3:L100,$A98,Aug2026!M3:M100,$B98)+SUMIFS(Sep2026!K3:K100,Sep2026!L3:L100,$A98,Sep2026!M3:M100,$B98)+SUMIFS(Oct2026!K3:K100,Oct2026!L3:L100,$A98,Oct2026!M3:M100,$B98)+SUMIFS(Nov2026!K3:K100,Nov2026!L3:L100,$A98,Nov2026!M3:M100,$B98)+SUMIFS(Dec2026!K3:K100,Dec2026!L3:L100,$A98,Dec2026!M3:M100,$B98)</f>
        <v/>
      </c>
    </row>
    <row r="99">
      <c r="A99" t="inlineStr">
        <is>
          <t>Buildings &amp; Amenities</t>
        </is>
      </c>
      <c r="B99" t="inlineStr">
        <is>
          <t>Children's Play Area</t>
        </is>
      </c>
      <c r="C99" s="8">
        <f>SUMIFS(Jan2026!K3:K100,Jan2026!L3:L100,$A99,Jan2026!M3:M100,$B99)+SUMIFS(Feb2026!K3:K100,Feb2026!L3:L100,$A99,Feb2026!M3:M100,$B99)+SUMIFS(Mar2026!K3:K100,Mar2026!L3:L100,$A99,Mar2026!M3:M100,$B99)+SUMIFS(Apr2026!K3:K100,Apr2026!L3:L100,$A99,Apr2026!M3:M100,$B99)+SUMIFS(May2026!K3:K100,May2026!L3:L100,$A99,May2026!M3:M100,$B99)+SUMIFS(Jun2026!K3:K100,Jun2026!L3:L100,$A99,Jun2026!M3:M100,$B99)+SUMIFS(Jul2026!K3:K100,Jul2026!L3:L100,$A99,Jul2026!M3:M100,$B99)+SUMIFS(Aug2026!K3:K100,Aug2026!L3:L100,$A99,Aug2026!M3:M100,$B99)+SUMIFS(Sep2026!K3:K100,Sep2026!L3:L100,$A99,Sep2026!M3:M100,$B99)+SUMIFS(Oct2026!K3:K100,Oct2026!L3:L100,$A99,Oct2026!M3:M100,$B99)+SUMIFS(Nov2026!K3:K100,Nov2026!L3:L100,$A99,Nov2026!M3:M100,$B99)+SUMIFS(Dec2026!K3:K100,Dec2026!L3:L100,$A99,Dec2026!M3:M100,$B99)</f>
        <v/>
      </c>
    </row>
    <row r="100">
      <c r="A100" t="inlineStr">
        <is>
          <t>Buildings &amp; Amenities</t>
        </is>
      </c>
      <c r="B100" t="inlineStr">
        <is>
          <t>Sports Courts</t>
        </is>
      </c>
      <c r="C100" s="8">
        <f>SUMIFS(Jan2026!K3:K100,Jan2026!L3:L100,$A100,Jan2026!M3:M100,$B100)+SUMIFS(Feb2026!K3:K100,Feb2026!L3:L100,$A100,Feb2026!M3:M100,$B100)+SUMIFS(Mar2026!K3:K100,Mar2026!L3:L100,$A100,Mar2026!M3:M100,$B100)+SUMIFS(Apr2026!K3:K100,Apr2026!L3:L100,$A100,Apr2026!M3:M100,$B100)+SUMIFS(May2026!K3:K100,May2026!L3:L100,$A100,May2026!M3:M100,$B100)+SUMIFS(Jun2026!K3:K100,Jun2026!L3:L100,$A100,Jun2026!M3:M100,$B100)+SUMIFS(Jul2026!K3:K100,Jul2026!L3:L100,$A100,Jul2026!M3:M100,$B100)+SUMIFS(Aug2026!K3:K100,Aug2026!L3:L100,$A100,Aug2026!M3:M100,$B100)+SUMIFS(Sep2026!K3:K100,Sep2026!L3:L100,$A100,Sep2026!M3:M100,$B100)+SUMIFS(Oct2026!K3:K100,Oct2026!L3:L100,$A100,Oct2026!M3:M100,$B100)+SUMIFS(Nov2026!K3:K100,Nov2026!L3:L100,$A100,Nov2026!M3:M100,$B100)+SUMIFS(Dec2026!K3:K100,Dec2026!L3:L100,$A100,Dec2026!M3:M100,$B100)</f>
        <v/>
      </c>
    </row>
    <row r="101">
      <c r="A101" t="inlineStr">
        <is>
          <t>Buildings &amp; Amenities</t>
        </is>
      </c>
      <c r="B101" t="inlineStr">
        <is>
          <t>Toilets</t>
        </is>
      </c>
      <c r="C101" s="8">
        <f>SUMIFS(Jan2026!K3:K100,Jan2026!L3:L100,$A101,Jan2026!M3:M100,$B101)+SUMIFS(Feb2026!K3:K100,Feb2026!L3:L100,$A101,Feb2026!M3:M100,$B101)+SUMIFS(Mar2026!K3:K100,Mar2026!L3:L100,$A101,Mar2026!M3:M100,$B101)+SUMIFS(Apr2026!K3:K100,Apr2026!L3:L100,$A101,Apr2026!M3:M100,$B101)+SUMIFS(May2026!K3:K100,May2026!L3:L100,$A101,May2026!M3:M100,$B101)+SUMIFS(Jun2026!K3:K100,Jun2026!L3:L100,$A101,Jun2026!M3:M100,$B101)+SUMIFS(Jul2026!K3:K100,Jul2026!L3:L100,$A101,Jul2026!M3:M100,$B101)+SUMIFS(Aug2026!K3:K100,Aug2026!L3:L100,$A101,Aug2026!M3:M100,$B101)+SUMIFS(Sep2026!K3:K100,Sep2026!L3:L100,$A101,Sep2026!M3:M100,$B101)+SUMIFS(Oct2026!K3:K100,Oct2026!L3:L100,$A101,Oct2026!M3:M100,$B101)+SUMIFS(Nov2026!K3:K100,Nov2026!L3:L100,$A101,Nov2026!M3:M100,$B101)+SUMIFS(Dec2026!K3:K100,Dec2026!L3:L100,$A101,Dec2026!M3:M100,$B101)</f>
        <v/>
      </c>
    </row>
    <row r="102">
      <c r="A102" t="inlineStr">
        <is>
          <t>Buildings &amp; Amenities</t>
        </is>
      </c>
      <c r="B102" t="inlineStr">
        <is>
          <t>Cottages</t>
        </is>
      </c>
      <c r="C102" s="8">
        <f>SUMIFS(Jan2026!K3:K100,Jan2026!L3:L100,$A102,Jan2026!M3:M100,$B102)+SUMIFS(Feb2026!K3:K100,Feb2026!L3:L100,$A102,Feb2026!M3:M100,$B102)+SUMIFS(Mar2026!K3:K100,Mar2026!L3:L100,$A102,Mar2026!M3:M100,$B102)+SUMIFS(Apr2026!K3:K100,Apr2026!L3:L100,$A102,Apr2026!M3:M100,$B102)+SUMIFS(May2026!K3:K100,May2026!L3:L100,$A102,May2026!M3:M100,$B102)+SUMIFS(Jun2026!K3:K100,Jun2026!L3:L100,$A102,Jun2026!M3:M100,$B102)+SUMIFS(Jul2026!K3:K100,Jul2026!L3:L100,$A102,Jul2026!M3:M100,$B102)+SUMIFS(Aug2026!K3:K100,Aug2026!L3:L100,$A102,Aug2026!M3:M100,$B102)+SUMIFS(Sep2026!K3:K100,Sep2026!L3:L100,$A102,Sep2026!M3:M100,$B102)+SUMIFS(Oct2026!K3:K100,Oct2026!L3:L100,$A102,Oct2026!M3:M100,$B102)+SUMIFS(Nov2026!K3:K100,Nov2026!L3:L100,$A102,Nov2026!M3:M100,$B102)+SUMIFS(Dec2026!K3:K100,Dec2026!L3:L100,$A102,Dec2026!M3:M100,$B102)</f>
        <v/>
      </c>
    </row>
    <row r="103">
      <c r="A103" t="inlineStr">
        <is>
          <t>Buildings &amp; Amenities</t>
        </is>
      </c>
      <c r="B103" t="inlineStr">
        <is>
          <t>Banquet Hall</t>
        </is>
      </c>
      <c r="C103" s="8">
        <f>SUMIFS(Jan2026!K3:K100,Jan2026!L3:L100,$A103,Jan2026!M3:M100,$B103)+SUMIFS(Feb2026!K3:K100,Feb2026!L3:L100,$A103,Feb2026!M3:M100,$B103)+SUMIFS(Mar2026!K3:K100,Mar2026!L3:L100,$A103,Mar2026!M3:M100,$B103)+SUMIFS(Apr2026!K3:K100,Apr2026!L3:L100,$A103,Apr2026!M3:M100,$B103)+SUMIFS(May2026!K3:K100,May2026!L3:L100,$A103,May2026!M3:M100,$B103)+SUMIFS(Jun2026!K3:K100,Jun2026!L3:L100,$A103,Jun2026!M3:M100,$B103)+SUMIFS(Jul2026!K3:K100,Jul2026!L3:L100,$A103,Jul2026!M3:M100,$B103)+SUMIFS(Aug2026!K3:K100,Aug2026!L3:L100,$A103,Aug2026!M3:M100,$B103)+SUMIFS(Sep2026!K3:K100,Sep2026!L3:L100,$A103,Sep2026!M3:M100,$B103)+SUMIFS(Oct2026!K3:K100,Oct2026!L3:L100,$A103,Oct2026!M3:M100,$B103)+SUMIFS(Nov2026!K3:K100,Nov2026!L3:L100,$A103,Nov2026!M3:M100,$B103)+SUMIFS(Dec2026!K3:K100,Dec2026!L3:L100,$A103,Dec2026!M3:M100,$B103)</f>
        <v/>
      </c>
    </row>
    <row r="104">
      <c r="A104" t="inlineStr">
        <is>
          <t>Labour &amp; Contractors</t>
        </is>
      </c>
      <c r="B104" t="inlineStr">
        <is>
          <t>Labour Wages</t>
        </is>
      </c>
      <c r="C104" s="8">
        <f>SUMIFS(Jan2026!K3:K100,Jan2026!L3:L100,$A104,Jan2026!M3:M100,$B104)+SUMIFS(Feb2026!K3:K100,Feb2026!L3:L100,$A104,Feb2026!M3:M100,$B104)+SUMIFS(Mar2026!K3:K100,Mar2026!L3:L100,$A104,Mar2026!M3:M100,$B104)+SUMIFS(Apr2026!K3:K100,Apr2026!L3:L100,$A104,Apr2026!M3:M100,$B104)+SUMIFS(May2026!K3:K100,May2026!L3:L100,$A104,May2026!M3:M100,$B104)+SUMIFS(Jun2026!K3:K100,Jun2026!L3:L100,$A104,Jun2026!M3:M100,$B104)+SUMIFS(Jul2026!K3:K100,Jul2026!L3:L100,$A104,Jul2026!M3:M100,$B104)+SUMIFS(Aug2026!K3:K100,Aug2026!L3:L100,$A104,Aug2026!M3:M100,$B104)+SUMIFS(Sep2026!K3:K100,Sep2026!L3:L100,$A104,Sep2026!M3:M100,$B104)+SUMIFS(Oct2026!K3:K100,Oct2026!L3:L100,$A104,Oct2026!M3:M100,$B104)+SUMIFS(Nov2026!K3:K100,Nov2026!L3:L100,$A104,Nov2026!M3:M100,$B104)+SUMIFS(Dec2026!K3:K100,Dec2026!L3:L100,$A104,Dec2026!M3:M100,$B104)</f>
        <v/>
      </c>
    </row>
    <row r="105">
      <c r="A105" t="inlineStr">
        <is>
          <t>Labour &amp; Contractors</t>
        </is>
      </c>
      <c r="B105" t="inlineStr">
        <is>
          <t>Contractor Payments</t>
        </is>
      </c>
      <c r="C105" s="8">
        <f>SUMIFS(Jan2026!K3:K100,Jan2026!L3:L100,$A105,Jan2026!M3:M100,$B105)+SUMIFS(Feb2026!K3:K100,Feb2026!L3:L100,$A105,Feb2026!M3:M100,$B105)+SUMIFS(Mar2026!K3:K100,Mar2026!L3:L100,$A105,Mar2026!M3:M100,$B105)+SUMIFS(Apr2026!K3:K100,Apr2026!L3:L100,$A105,Apr2026!M3:M100,$B105)+SUMIFS(May2026!K3:K100,May2026!L3:L100,$A105,May2026!M3:M100,$B105)+SUMIFS(Jun2026!K3:K100,Jun2026!L3:L100,$A105,Jun2026!M3:M100,$B105)+SUMIFS(Jul2026!K3:K100,Jul2026!L3:L100,$A105,Jul2026!M3:M100,$B105)+SUMIFS(Aug2026!K3:K100,Aug2026!L3:L100,$A105,Aug2026!M3:M100,$B105)+SUMIFS(Sep2026!K3:K100,Sep2026!L3:L100,$A105,Sep2026!M3:M100,$B105)+SUMIFS(Oct2026!K3:K100,Oct2026!L3:L100,$A105,Oct2026!M3:M100,$B105)+SUMIFS(Nov2026!K3:K100,Nov2026!L3:L100,$A105,Nov2026!M3:M100,$B105)+SUMIFS(Dec2026!K3:K100,Dec2026!L3:L100,$A105,Dec2026!M3:M100,$B105)</f>
        <v/>
      </c>
    </row>
    <row r="106">
      <c r="A106" t="inlineStr">
        <is>
          <t>Labour &amp; Contractors</t>
        </is>
      </c>
      <c r="B106" t="inlineStr">
        <is>
          <t>Machinery Hire</t>
        </is>
      </c>
      <c r="C106" s="8">
        <f>SUMIFS(Jan2026!K3:K100,Jan2026!L3:L100,$A106,Jan2026!M3:M100,$B106)+SUMIFS(Feb2026!K3:K100,Feb2026!L3:L100,$A106,Feb2026!M3:M100,$B106)+SUMIFS(Mar2026!K3:K100,Mar2026!L3:L100,$A106,Mar2026!M3:M100,$B106)+SUMIFS(Apr2026!K3:K100,Apr2026!L3:L100,$A106,Apr2026!M3:M100,$B106)+SUMIFS(May2026!K3:K100,May2026!L3:L100,$A106,May2026!M3:M100,$B106)+SUMIFS(Jun2026!K3:K100,Jun2026!L3:L100,$A106,Jun2026!M3:M100,$B106)+SUMIFS(Jul2026!K3:K100,Jul2026!L3:L100,$A106,Jul2026!M3:M100,$B106)+SUMIFS(Aug2026!K3:K100,Aug2026!L3:L100,$A106,Aug2026!M3:M100,$B106)+SUMIFS(Sep2026!K3:K100,Sep2026!L3:L100,$A106,Sep2026!M3:M100,$B106)+SUMIFS(Oct2026!K3:K100,Oct2026!L3:L100,$A106,Oct2026!M3:M100,$B106)+SUMIFS(Nov2026!K3:K100,Nov2026!L3:L100,$A106,Nov2026!M3:M100,$B106)+SUMIFS(Dec2026!K3:K100,Dec2026!L3:L100,$A106,Dec2026!M3:M100,$B106)</f>
        <v/>
      </c>
    </row>
    <row r="107">
      <c r="A107" t="inlineStr">
        <is>
          <t>Labour &amp; Contractors</t>
        </is>
      </c>
      <c r="B107" t="inlineStr">
        <is>
          <t>Excavator/JCB</t>
        </is>
      </c>
      <c r="C107" s="8">
        <f>SUMIFS(Jan2026!K3:K100,Jan2026!L3:L100,$A107,Jan2026!M3:M100,$B107)+SUMIFS(Feb2026!K3:K100,Feb2026!L3:L100,$A107,Feb2026!M3:M100,$B107)+SUMIFS(Mar2026!K3:K100,Mar2026!L3:L100,$A107,Mar2026!M3:M100,$B107)+SUMIFS(Apr2026!K3:K100,Apr2026!L3:L100,$A107,Apr2026!M3:M100,$B107)+SUMIFS(May2026!K3:K100,May2026!L3:L100,$A107,May2026!M3:M100,$B107)+SUMIFS(Jun2026!K3:K100,Jun2026!L3:L100,$A107,Jun2026!M3:M100,$B107)+SUMIFS(Jul2026!K3:K100,Jul2026!L3:L100,$A107,Jul2026!M3:M100,$B107)+SUMIFS(Aug2026!K3:K100,Aug2026!L3:L100,$A107,Aug2026!M3:M100,$B107)+SUMIFS(Sep2026!K3:K100,Sep2026!L3:L100,$A107,Sep2026!M3:M100,$B107)+SUMIFS(Oct2026!K3:K100,Oct2026!L3:L100,$A107,Oct2026!M3:M100,$B107)+SUMIFS(Nov2026!K3:K100,Nov2026!L3:L100,$A107,Nov2026!M3:M100,$B107)+SUMIFS(Dec2026!K3:K100,Dec2026!L3:L100,$A107,Dec2026!M3:M100,$B107)</f>
        <v/>
      </c>
    </row>
    <row r="108">
      <c r="A108" t="inlineStr">
        <is>
          <t>Labour &amp; Contractors</t>
        </is>
      </c>
      <c r="B108" t="inlineStr">
        <is>
          <t>Tractor &amp; Transport</t>
        </is>
      </c>
      <c r="C108" s="8">
        <f>SUMIFS(Jan2026!K3:K100,Jan2026!L3:L100,$A108,Jan2026!M3:M100,$B108)+SUMIFS(Feb2026!K3:K100,Feb2026!L3:L100,$A108,Feb2026!M3:M100,$B108)+SUMIFS(Mar2026!K3:K100,Mar2026!L3:L100,$A108,Mar2026!M3:M100,$B108)+SUMIFS(Apr2026!K3:K100,Apr2026!L3:L100,$A108,Apr2026!M3:M100,$B108)+SUMIFS(May2026!K3:K100,May2026!L3:L100,$A108,May2026!M3:M100,$B108)+SUMIFS(Jun2026!K3:K100,Jun2026!L3:L100,$A108,Jun2026!M3:M100,$B108)+SUMIFS(Jul2026!K3:K100,Jul2026!L3:L100,$A108,Jul2026!M3:M100,$B108)+SUMIFS(Aug2026!K3:K100,Aug2026!L3:L100,$A108,Aug2026!M3:M100,$B108)+SUMIFS(Sep2026!K3:K100,Sep2026!L3:L100,$A108,Sep2026!M3:M100,$B108)+SUMIFS(Oct2026!K3:K100,Oct2026!L3:L100,$A108,Oct2026!M3:M100,$B108)+SUMIFS(Nov2026!K3:K100,Nov2026!L3:L100,$A108,Nov2026!M3:M100,$B108)+SUMIFS(Dec2026!K3:K100,Dec2026!L3:L100,$A108,Dec2026!M3:M100,$B108)</f>
        <v/>
      </c>
    </row>
    <row r="109">
      <c r="A109" t="inlineStr">
        <is>
          <t>Labour &amp; Contractors</t>
        </is>
      </c>
      <c r="B109" t="inlineStr">
        <is>
          <t>NMR</t>
        </is>
      </c>
      <c r="C109" s="8">
        <f>SUMIFS(Jan2026!K3:K100,Jan2026!L3:L100,$A109,Jan2026!M3:M100,$B109)+SUMIFS(Feb2026!K3:K100,Feb2026!L3:L100,$A109,Feb2026!M3:M100,$B109)+SUMIFS(Mar2026!K3:K100,Mar2026!L3:L100,$A109,Mar2026!M3:M100,$B109)+SUMIFS(Apr2026!K3:K100,Apr2026!L3:L100,$A109,Apr2026!M3:M100,$B109)+SUMIFS(May2026!K3:K100,May2026!L3:L100,$A109,May2026!M3:M100,$B109)+SUMIFS(Jun2026!K3:K100,Jun2026!L3:L100,$A109,Jun2026!M3:M100,$B109)+SUMIFS(Jul2026!K3:K100,Jul2026!L3:L100,$A109,Jul2026!M3:M100,$B109)+SUMIFS(Aug2026!K3:K100,Aug2026!L3:L100,$A109,Aug2026!M3:M100,$B109)+SUMIFS(Sep2026!K3:K100,Sep2026!L3:L100,$A109,Sep2026!M3:M100,$B109)+SUMIFS(Oct2026!K3:K100,Oct2026!L3:L100,$A109,Oct2026!M3:M100,$B109)+SUMIFS(Nov2026!K3:K100,Nov2026!L3:L100,$A109,Nov2026!M3:M100,$B109)+SUMIFS(Dec2026!K3:K100,Dec2026!L3:L100,$A109,Dec2026!M3:M100,$B109)</f>
        <v/>
      </c>
    </row>
    <row r="110">
      <c r="A110" t="inlineStr">
        <is>
          <t>Materials</t>
        </is>
      </c>
      <c r="B110" t="inlineStr">
        <is>
          <t>Cement</t>
        </is>
      </c>
      <c r="C110" s="8">
        <f>SUMIFS(Jan2026!K3:K100,Jan2026!L3:L100,$A110,Jan2026!M3:M100,$B110)+SUMIFS(Feb2026!K3:K100,Feb2026!L3:L100,$A110,Feb2026!M3:M100,$B110)+SUMIFS(Mar2026!K3:K100,Mar2026!L3:L100,$A110,Mar2026!M3:M100,$B110)+SUMIFS(Apr2026!K3:K100,Apr2026!L3:L100,$A110,Apr2026!M3:M100,$B110)+SUMIFS(May2026!K3:K100,May2026!L3:L100,$A110,May2026!M3:M100,$B110)+SUMIFS(Jun2026!K3:K100,Jun2026!L3:L100,$A110,Jun2026!M3:M100,$B110)+SUMIFS(Jul2026!K3:K100,Jul2026!L3:L100,$A110,Jul2026!M3:M100,$B110)+SUMIFS(Aug2026!K3:K100,Aug2026!L3:L100,$A110,Aug2026!M3:M100,$B110)+SUMIFS(Sep2026!K3:K100,Sep2026!L3:L100,$A110,Sep2026!M3:M100,$B110)+SUMIFS(Oct2026!K3:K100,Oct2026!L3:L100,$A110,Oct2026!M3:M100,$B110)+SUMIFS(Nov2026!K3:K100,Nov2026!L3:L100,$A110,Nov2026!M3:M100,$B110)+SUMIFS(Dec2026!K3:K100,Dec2026!L3:L100,$A110,Dec2026!M3:M100,$B110)</f>
        <v/>
      </c>
    </row>
    <row r="111">
      <c r="A111" t="inlineStr">
        <is>
          <t>Materials</t>
        </is>
      </c>
      <c r="B111" t="inlineStr">
        <is>
          <t>Sand</t>
        </is>
      </c>
      <c r="C111" s="8">
        <f>SUMIFS(Jan2026!K3:K100,Jan2026!L3:L100,$A111,Jan2026!M3:M100,$B111)+SUMIFS(Feb2026!K3:K100,Feb2026!L3:L100,$A111,Feb2026!M3:M100,$B111)+SUMIFS(Mar2026!K3:K100,Mar2026!L3:L100,$A111,Mar2026!M3:M100,$B111)+SUMIFS(Apr2026!K3:K100,Apr2026!L3:L100,$A111,Apr2026!M3:M100,$B111)+SUMIFS(May2026!K3:K100,May2026!L3:L100,$A111,May2026!M3:M100,$B111)+SUMIFS(Jun2026!K3:K100,Jun2026!L3:L100,$A111,Jun2026!M3:M100,$B111)+SUMIFS(Jul2026!K3:K100,Jul2026!L3:L100,$A111,Jul2026!M3:M100,$B111)+SUMIFS(Aug2026!K3:K100,Aug2026!L3:L100,$A111,Aug2026!M3:M100,$B111)+SUMIFS(Sep2026!K3:K100,Sep2026!L3:L100,$A111,Sep2026!M3:M100,$B111)+SUMIFS(Oct2026!K3:K100,Oct2026!L3:L100,$A111,Oct2026!M3:M100,$B111)+SUMIFS(Nov2026!K3:K100,Nov2026!L3:L100,$A111,Nov2026!M3:M100,$B111)+SUMIFS(Dec2026!K3:K100,Dec2026!L3:L100,$A111,Dec2026!M3:M100,$B111)</f>
        <v/>
      </c>
    </row>
    <row r="112">
      <c r="A112" t="inlineStr">
        <is>
          <t>Materials</t>
        </is>
      </c>
      <c r="B112" t="inlineStr">
        <is>
          <t>M-Sand</t>
        </is>
      </c>
      <c r="C112" s="8">
        <f>SUMIFS(Jan2026!K3:K100,Jan2026!L3:L100,$A112,Jan2026!M3:M100,$B112)+SUMIFS(Feb2026!K3:K100,Feb2026!L3:L100,$A112,Feb2026!M3:M100,$B112)+SUMIFS(Mar2026!K3:K100,Mar2026!L3:L100,$A112,Mar2026!M3:M100,$B112)+SUMIFS(Apr2026!K3:K100,Apr2026!L3:L100,$A112,Apr2026!M3:M100,$B112)+SUMIFS(May2026!K3:K100,May2026!L3:L100,$A112,May2026!M3:M100,$B112)+SUMIFS(Jun2026!K3:K100,Jun2026!L3:L100,$A112,Jun2026!M3:M100,$B112)+SUMIFS(Jul2026!K3:K100,Jul2026!L3:L100,$A112,Jul2026!M3:M100,$B112)+SUMIFS(Aug2026!K3:K100,Aug2026!L3:L100,$A112,Aug2026!M3:M100,$B112)+SUMIFS(Sep2026!K3:K100,Sep2026!L3:L100,$A112,Sep2026!M3:M100,$B112)+SUMIFS(Oct2026!K3:K100,Oct2026!L3:L100,$A112,Oct2026!M3:M100,$B112)+SUMIFS(Nov2026!K3:K100,Nov2026!L3:L100,$A112,Nov2026!M3:M100,$B112)+SUMIFS(Dec2026!K3:K100,Dec2026!L3:L100,$A112,Dec2026!M3:M100,$B112)</f>
        <v/>
      </c>
    </row>
    <row r="113">
      <c r="A113" t="inlineStr">
        <is>
          <t>Materials</t>
        </is>
      </c>
      <c r="B113" t="inlineStr">
        <is>
          <t>P-Sand</t>
        </is>
      </c>
      <c r="C113" s="8">
        <f>SUMIFS(Jan2026!K3:K100,Jan2026!L3:L100,$A113,Jan2026!M3:M100,$B113)+SUMIFS(Feb2026!K3:K100,Feb2026!L3:L100,$A113,Feb2026!M3:M100,$B113)+SUMIFS(Mar2026!K3:K100,Mar2026!L3:L100,$A113,Mar2026!M3:M100,$B113)+SUMIFS(Apr2026!K3:K100,Apr2026!L3:L100,$A113,Apr2026!M3:M100,$B113)+SUMIFS(May2026!K3:K100,May2026!L3:L100,$A113,May2026!M3:M100,$B113)+SUMIFS(Jun2026!K3:K100,Jun2026!L3:L100,$A113,Jun2026!M3:M100,$B113)+SUMIFS(Jul2026!K3:K100,Jul2026!L3:L100,$A113,Jul2026!M3:M100,$B113)+SUMIFS(Aug2026!K3:K100,Aug2026!L3:L100,$A113,Aug2026!M3:M100,$B113)+SUMIFS(Sep2026!K3:K100,Sep2026!L3:L100,$A113,Sep2026!M3:M100,$B113)+SUMIFS(Oct2026!K3:K100,Oct2026!L3:L100,$A113,Oct2026!M3:M100,$B113)+SUMIFS(Nov2026!K3:K100,Nov2026!L3:L100,$A113,Nov2026!M3:M100,$B113)+SUMIFS(Dec2026!K3:K100,Dec2026!L3:L100,$A113,Dec2026!M3:M100,$B113)</f>
        <v/>
      </c>
    </row>
    <row r="114">
      <c r="A114" t="inlineStr">
        <is>
          <t>Materials</t>
        </is>
      </c>
      <c r="B114" t="inlineStr">
        <is>
          <t>Gravel (20mm)</t>
        </is>
      </c>
      <c r="C114" s="8">
        <f>SUMIFS(Jan2026!K3:K100,Jan2026!L3:L100,$A114,Jan2026!M3:M100,$B114)+SUMIFS(Feb2026!K3:K100,Feb2026!L3:L100,$A114,Feb2026!M3:M100,$B114)+SUMIFS(Mar2026!K3:K100,Mar2026!L3:L100,$A114,Mar2026!M3:M100,$B114)+SUMIFS(Apr2026!K3:K100,Apr2026!L3:L100,$A114,Apr2026!M3:M100,$B114)+SUMIFS(May2026!K3:K100,May2026!L3:L100,$A114,May2026!M3:M100,$B114)+SUMIFS(Jun2026!K3:K100,Jun2026!L3:L100,$A114,Jun2026!M3:M100,$B114)+SUMIFS(Jul2026!K3:K100,Jul2026!L3:L100,$A114,Jul2026!M3:M100,$B114)+SUMIFS(Aug2026!K3:K100,Aug2026!L3:L100,$A114,Aug2026!M3:M100,$B114)+SUMIFS(Sep2026!K3:K100,Sep2026!L3:L100,$A114,Sep2026!M3:M100,$B114)+SUMIFS(Oct2026!K3:K100,Oct2026!L3:L100,$A114,Oct2026!M3:M100,$B114)+SUMIFS(Nov2026!K3:K100,Nov2026!L3:L100,$A114,Nov2026!M3:M100,$B114)+SUMIFS(Dec2026!K3:K100,Dec2026!L3:L100,$A114,Dec2026!M3:M100,$B114)</f>
        <v/>
      </c>
    </row>
    <row r="115">
      <c r="A115" t="inlineStr">
        <is>
          <t>Materials</t>
        </is>
      </c>
      <c r="B115" t="inlineStr">
        <is>
          <t>Gravel (40mm)</t>
        </is>
      </c>
      <c r="C115" s="8">
        <f>SUMIFS(Jan2026!K3:K100,Jan2026!L3:L100,$A115,Jan2026!M3:M100,$B115)+SUMIFS(Feb2026!K3:K100,Feb2026!L3:L100,$A115,Feb2026!M3:M100,$B115)+SUMIFS(Mar2026!K3:K100,Mar2026!L3:L100,$A115,Mar2026!M3:M100,$B115)+SUMIFS(Apr2026!K3:K100,Apr2026!L3:L100,$A115,Apr2026!M3:M100,$B115)+SUMIFS(May2026!K3:K100,May2026!L3:L100,$A115,May2026!M3:M100,$B115)+SUMIFS(Jun2026!K3:K100,Jun2026!L3:L100,$A115,Jun2026!M3:M100,$B115)+SUMIFS(Jul2026!K3:K100,Jul2026!L3:L100,$A115,Jul2026!M3:M100,$B115)+SUMIFS(Aug2026!K3:K100,Aug2026!L3:L100,$A115,Aug2026!M3:M100,$B115)+SUMIFS(Sep2026!K3:K100,Sep2026!L3:L100,$A115,Sep2026!M3:M100,$B115)+SUMIFS(Oct2026!K3:K100,Oct2026!L3:L100,$A115,Oct2026!M3:M100,$B115)+SUMIFS(Nov2026!K3:K100,Nov2026!L3:L100,$A115,Nov2026!M3:M100,$B115)+SUMIFS(Dec2026!K3:K100,Dec2026!L3:L100,$A115,Dec2026!M3:M100,$B115)</f>
        <v/>
      </c>
    </row>
    <row r="116">
      <c r="A116" t="inlineStr">
        <is>
          <t>Materials</t>
        </is>
      </c>
      <c r="B116" t="inlineStr">
        <is>
          <t>Jelly Stones</t>
        </is>
      </c>
      <c r="C116" s="8">
        <f>SUMIFS(Jan2026!K3:K100,Jan2026!L3:L100,$A116,Jan2026!M3:M100,$B116)+SUMIFS(Feb2026!K3:K100,Feb2026!L3:L100,$A116,Feb2026!M3:M100,$B116)+SUMIFS(Mar2026!K3:K100,Mar2026!L3:L100,$A116,Mar2026!M3:M100,$B116)+SUMIFS(Apr2026!K3:K100,Apr2026!L3:L100,$A116,Apr2026!M3:M100,$B116)+SUMIFS(May2026!K3:K100,May2026!L3:L100,$A116,May2026!M3:M100,$B116)+SUMIFS(Jun2026!K3:K100,Jun2026!L3:L100,$A116,Jun2026!M3:M100,$B116)+SUMIFS(Jul2026!K3:K100,Jul2026!L3:L100,$A116,Jul2026!M3:M100,$B116)+SUMIFS(Aug2026!K3:K100,Aug2026!L3:L100,$A116,Aug2026!M3:M100,$B116)+SUMIFS(Sep2026!K3:K100,Sep2026!L3:L100,$A116,Sep2026!M3:M100,$B116)+SUMIFS(Oct2026!K3:K100,Oct2026!L3:L100,$A116,Oct2026!M3:M100,$B116)+SUMIFS(Nov2026!K3:K100,Nov2026!L3:L100,$A116,Nov2026!M3:M100,$B116)+SUMIFS(Dec2026!K3:K100,Dec2026!L3:L100,$A116,Dec2026!M3:M100,$B116)</f>
        <v/>
      </c>
    </row>
    <row r="117">
      <c r="A117" t="inlineStr">
        <is>
          <t>Materials</t>
        </is>
      </c>
      <c r="B117" t="inlineStr">
        <is>
          <t>Bricks</t>
        </is>
      </c>
      <c r="C117" s="8">
        <f>SUMIFS(Jan2026!K3:K100,Jan2026!L3:L100,$A117,Jan2026!M3:M100,$B117)+SUMIFS(Feb2026!K3:K100,Feb2026!L3:L100,$A117,Feb2026!M3:M100,$B117)+SUMIFS(Mar2026!K3:K100,Mar2026!L3:L100,$A117,Mar2026!M3:M100,$B117)+SUMIFS(Apr2026!K3:K100,Apr2026!L3:L100,$A117,Apr2026!M3:M100,$B117)+SUMIFS(May2026!K3:K100,May2026!L3:L100,$A117,May2026!M3:M100,$B117)+SUMIFS(Jun2026!K3:K100,Jun2026!L3:L100,$A117,Jun2026!M3:M100,$B117)+SUMIFS(Jul2026!K3:K100,Jul2026!L3:L100,$A117,Jul2026!M3:M100,$B117)+SUMIFS(Aug2026!K3:K100,Aug2026!L3:L100,$A117,Aug2026!M3:M100,$B117)+SUMIFS(Sep2026!K3:K100,Sep2026!L3:L100,$A117,Sep2026!M3:M100,$B117)+SUMIFS(Oct2026!K3:K100,Oct2026!L3:L100,$A117,Oct2026!M3:M100,$B117)+SUMIFS(Nov2026!K3:K100,Nov2026!L3:L100,$A117,Nov2026!M3:M100,$B117)+SUMIFS(Dec2026!K3:K100,Dec2026!L3:L100,$A117,Dec2026!M3:M100,$B117)</f>
        <v/>
      </c>
    </row>
    <row r="118">
      <c r="A118" t="inlineStr">
        <is>
          <t>Materials</t>
        </is>
      </c>
      <c r="B118" t="inlineStr">
        <is>
          <t>Fly Ash Bricks</t>
        </is>
      </c>
      <c r="C118" s="8">
        <f>SUMIFS(Jan2026!K3:K100,Jan2026!L3:L100,$A118,Jan2026!M3:M100,$B118)+SUMIFS(Feb2026!K3:K100,Feb2026!L3:L100,$A118,Feb2026!M3:M100,$B118)+SUMIFS(Mar2026!K3:K100,Mar2026!L3:L100,$A118,Mar2026!M3:M100,$B118)+SUMIFS(Apr2026!K3:K100,Apr2026!L3:L100,$A118,Apr2026!M3:M100,$B118)+SUMIFS(May2026!K3:K100,May2026!L3:L100,$A118,May2026!M3:M100,$B118)+SUMIFS(Jun2026!K3:K100,Jun2026!L3:L100,$A118,Jun2026!M3:M100,$B118)+SUMIFS(Jul2026!K3:K100,Jul2026!L3:L100,$A118,Jul2026!M3:M100,$B118)+SUMIFS(Aug2026!K3:K100,Aug2026!L3:L100,$A118,Aug2026!M3:M100,$B118)+SUMIFS(Sep2026!K3:K100,Sep2026!L3:L100,$A118,Sep2026!M3:M100,$B118)+SUMIFS(Oct2026!K3:K100,Oct2026!L3:L100,$A118,Oct2026!M3:M100,$B118)+SUMIFS(Nov2026!K3:K100,Nov2026!L3:L100,$A118,Nov2026!M3:M100,$B118)+SUMIFS(Dec2026!K3:K100,Dec2026!L3:L100,$A118,Dec2026!M3:M100,$B118)</f>
        <v/>
      </c>
    </row>
    <row r="119">
      <c r="A119" t="inlineStr">
        <is>
          <t>Materials</t>
        </is>
      </c>
      <c r="B119" t="inlineStr">
        <is>
          <t>AAC Blocks</t>
        </is>
      </c>
      <c r="C119" s="8">
        <f>SUMIFS(Jan2026!K3:K100,Jan2026!L3:L100,$A119,Jan2026!M3:M100,$B119)+SUMIFS(Feb2026!K3:K100,Feb2026!L3:L100,$A119,Feb2026!M3:M100,$B119)+SUMIFS(Mar2026!K3:K100,Mar2026!L3:L100,$A119,Mar2026!M3:M100,$B119)+SUMIFS(Apr2026!K3:K100,Apr2026!L3:L100,$A119,Apr2026!M3:M100,$B119)+SUMIFS(May2026!K3:K100,May2026!L3:L100,$A119,May2026!M3:M100,$B119)+SUMIFS(Jun2026!K3:K100,Jun2026!L3:L100,$A119,Jun2026!M3:M100,$B119)+SUMIFS(Jul2026!K3:K100,Jul2026!L3:L100,$A119,Jul2026!M3:M100,$B119)+SUMIFS(Aug2026!K3:K100,Aug2026!L3:L100,$A119,Aug2026!M3:M100,$B119)+SUMIFS(Sep2026!K3:K100,Sep2026!L3:L100,$A119,Sep2026!M3:M100,$B119)+SUMIFS(Oct2026!K3:K100,Oct2026!L3:L100,$A119,Oct2026!M3:M100,$B119)+SUMIFS(Nov2026!K3:K100,Nov2026!L3:L100,$A119,Nov2026!M3:M100,$B119)+SUMIFS(Dec2026!K3:K100,Dec2026!L3:L100,$A119,Dec2026!M3:M100,$B119)</f>
        <v/>
      </c>
    </row>
    <row r="120">
      <c r="A120" t="inlineStr">
        <is>
          <t>Materials</t>
        </is>
      </c>
      <c r="B120" t="inlineStr">
        <is>
          <t>Concrete Blocks</t>
        </is>
      </c>
      <c r="C120" s="8">
        <f>SUMIFS(Jan2026!K3:K100,Jan2026!L3:L100,$A120,Jan2026!M3:M100,$B120)+SUMIFS(Feb2026!K3:K100,Feb2026!L3:L100,$A120,Feb2026!M3:M100,$B120)+SUMIFS(Mar2026!K3:K100,Mar2026!L3:L100,$A120,Mar2026!M3:M100,$B120)+SUMIFS(Apr2026!K3:K100,Apr2026!L3:L100,$A120,Apr2026!M3:M100,$B120)+SUMIFS(May2026!K3:K100,May2026!L3:L100,$A120,May2026!M3:M100,$B120)+SUMIFS(Jun2026!K3:K100,Jun2026!L3:L100,$A120,Jun2026!M3:M100,$B120)+SUMIFS(Jul2026!K3:K100,Jul2026!L3:L100,$A120,Jul2026!M3:M100,$B120)+SUMIFS(Aug2026!K3:K100,Aug2026!L3:L100,$A120,Aug2026!M3:M100,$B120)+SUMIFS(Sep2026!K3:K100,Sep2026!L3:L100,$A120,Sep2026!M3:M100,$B120)+SUMIFS(Oct2026!K3:K100,Oct2026!L3:L100,$A120,Oct2026!M3:M100,$B120)+SUMIFS(Nov2026!K3:K100,Nov2026!L3:L100,$A120,Nov2026!M3:M100,$B120)+SUMIFS(Dec2026!K3:K100,Dec2026!L3:L100,$A120,Dec2026!M3:M100,$B120)</f>
        <v/>
      </c>
    </row>
    <row r="121">
      <c r="A121" t="inlineStr">
        <is>
          <t>Materials</t>
        </is>
      </c>
      <c r="B121" t="inlineStr">
        <is>
          <t>Steel (TMT Bars)</t>
        </is>
      </c>
      <c r="C121" s="8">
        <f>SUMIFS(Jan2026!K3:K100,Jan2026!L3:L100,$A121,Jan2026!M3:M100,$B121)+SUMIFS(Feb2026!K3:K100,Feb2026!L3:L100,$A121,Feb2026!M3:M100,$B121)+SUMIFS(Mar2026!K3:K100,Mar2026!L3:L100,$A121,Mar2026!M3:M100,$B121)+SUMIFS(Apr2026!K3:K100,Apr2026!L3:L100,$A121,Apr2026!M3:M100,$B121)+SUMIFS(May2026!K3:K100,May2026!L3:L100,$A121,May2026!M3:M100,$B121)+SUMIFS(Jun2026!K3:K100,Jun2026!L3:L100,$A121,Jun2026!M3:M100,$B121)+SUMIFS(Jul2026!K3:K100,Jul2026!L3:L100,$A121,Jul2026!M3:M100,$B121)+SUMIFS(Aug2026!K3:K100,Aug2026!L3:L100,$A121,Aug2026!M3:M100,$B121)+SUMIFS(Sep2026!K3:K100,Sep2026!L3:L100,$A121,Sep2026!M3:M100,$B121)+SUMIFS(Oct2026!K3:K100,Oct2026!L3:L100,$A121,Oct2026!M3:M100,$B121)+SUMIFS(Nov2026!K3:K100,Nov2026!L3:L100,$A121,Nov2026!M3:M100,$B121)+SUMIFS(Dec2026!K3:K100,Dec2026!L3:L100,$A121,Dec2026!M3:M100,$B121)</f>
        <v/>
      </c>
    </row>
    <row r="122">
      <c r="A122" t="inlineStr">
        <is>
          <t>Materials</t>
        </is>
      </c>
      <c r="B122" t="inlineStr">
        <is>
          <t>Binding Wire</t>
        </is>
      </c>
      <c r="C122" s="8">
        <f>SUMIFS(Jan2026!K3:K100,Jan2026!L3:L100,$A122,Jan2026!M3:M100,$B122)+SUMIFS(Feb2026!K3:K100,Feb2026!L3:L100,$A122,Feb2026!M3:M100,$B122)+SUMIFS(Mar2026!K3:K100,Mar2026!L3:L100,$A122,Mar2026!M3:M100,$B122)+SUMIFS(Apr2026!K3:K100,Apr2026!L3:L100,$A122,Apr2026!M3:M100,$B122)+SUMIFS(May2026!K3:K100,May2026!L3:L100,$A122,May2026!M3:M100,$B122)+SUMIFS(Jun2026!K3:K100,Jun2026!L3:L100,$A122,Jun2026!M3:M100,$B122)+SUMIFS(Jul2026!K3:K100,Jul2026!L3:L100,$A122,Jul2026!M3:M100,$B122)+SUMIFS(Aug2026!K3:K100,Aug2026!L3:L100,$A122,Aug2026!M3:M100,$B122)+SUMIFS(Sep2026!K3:K100,Sep2026!L3:L100,$A122,Sep2026!M3:M100,$B122)+SUMIFS(Oct2026!K3:K100,Oct2026!L3:L100,$A122,Oct2026!M3:M100,$B122)+SUMIFS(Nov2026!K3:K100,Nov2026!L3:L100,$A122,Nov2026!M3:M100,$B122)+SUMIFS(Dec2026!K3:K100,Dec2026!L3:L100,$A122,Dec2026!M3:M100,$B122)</f>
        <v/>
      </c>
    </row>
    <row r="123">
      <c r="A123" t="inlineStr">
        <is>
          <t>Materials</t>
        </is>
      </c>
      <c r="B123" t="inlineStr">
        <is>
          <t>Structural Steel</t>
        </is>
      </c>
      <c r="C123" s="8">
        <f>SUMIFS(Jan2026!K3:K100,Jan2026!L3:L100,$A123,Jan2026!M3:M100,$B123)+SUMIFS(Feb2026!K3:K100,Feb2026!L3:L100,$A123,Feb2026!M3:M100,$B123)+SUMIFS(Mar2026!K3:K100,Mar2026!L3:L100,$A123,Mar2026!M3:M100,$B123)+SUMIFS(Apr2026!K3:K100,Apr2026!L3:L100,$A123,Apr2026!M3:M100,$B123)+SUMIFS(May2026!K3:K100,May2026!L3:L100,$A123,May2026!M3:M100,$B123)+SUMIFS(Jun2026!K3:K100,Jun2026!L3:L100,$A123,Jun2026!M3:M100,$B123)+SUMIFS(Jul2026!K3:K100,Jul2026!L3:L100,$A123,Jul2026!M3:M100,$B123)+SUMIFS(Aug2026!K3:K100,Aug2026!L3:L100,$A123,Aug2026!M3:M100,$B123)+SUMIFS(Sep2026!K3:K100,Sep2026!L3:L100,$A123,Sep2026!M3:M100,$B123)+SUMIFS(Oct2026!K3:K100,Oct2026!L3:L100,$A123,Oct2026!M3:M100,$B123)+SUMIFS(Nov2026!K3:K100,Nov2026!L3:L100,$A123,Nov2026!M3:M100,$B123)+SUMIFS(Dec2026!K3:K100,Dec2026!L3:L100,$A123,Dec2026!M3:M100,$B123)</f>
        <v/>
      </c>
    </row>
    <row r="124">
      <c r="A124" t="inlineStr">
        <is>
          <t>Materials</t>
        </is>
      </c>
      <c r="B124" t="inlineStr">
        <is>
          <t>Ready Mix Concrete (RMC)</t>
        </is>
      </c>
      <c r="C124" s="8">
        <f>SUMIFS(Jan2026!K3:K100,Jan2026!L3:L100,$A124,Jan2026!M3:M100,$B124)+SUMIFS(Feb2026!K3:K100,Feb2026!L3:L100,$A124,Feb2026!M3:M100,$B124)+SUMIFS(Mar2026!K3:K100,Mar2026!L3:L100,$A124,Mar2026!M3:M100,$B124)+SUMIFS(Apr2026!K3:K100,Apr2026!L3:L100,$A124,Apr2026!M3:M100,$B124)+SUMIFS(May2026!K3:K100,May2026!L3:L100,$A124,May2026!M3:M100,$B124)+SUMIFS(Jun2026!K3:K100,Jun2026!L3:L100,$A124,Jun2026!M3:M100,$B124)+SUMIFS(Jul2026!K3:K100,Jul2026!L3:L100,$A124,Jul2026!M3:M100,$B124)+SUMIFS(Aug2026!K3:K100,Aug2026!L3:L100,$A124,Aug2026!M3:M100,$B124)+SUMIFS(Sep2026!K3:K100,Sep2026!L3:L100,$A124,Sep2026!M3:M100,$B124)+SUMIFS(Oct2026!K3:K100,Oct2026!L3:L100,$A124,Oct2026!M3:M100,$B124)+SUMIFS(Nov2026!K3:K100,Nov2026!L3:L100,$A124,Nov2026!M3:M100,$B124)+SUMIFS(Dec2026!K3:K100,Dec2026!L3:L100,$A124,Dec2026!M3:M100,$B124)</f>
        <v/>
      </c>
    </row>
    <row r="125">
      <c r="A125" t="inlineStr">
        <is>
          <t>Materials</t>
        </is>
      </c>
      <c r="B125" t="inlineStr">
        <is>
          <t>Blue Metal</t>
        </is>
      </c>
      <c r="C125" s="8">
        <f>SUMIFS(Jan2026!K3:K100,Jan2026!L3:L100,$A125,Jan2026!M3:M100,$B125)+SUMIFS(Feb2026!K3:K100,Feb2026!L3:L100,$A125,Feb2026!M3:M100,$B125)+SUMIFS(Mar2026!K3:K100,Mar2026!L3:L100,$A125,Mar2026!M3:M100,$B125)+SUMIFS(Apr2026!K3:K100,Apr2026!L3:L100,$A125,Apr2026!M3:M100,$B125)+SUMIFS(May2026!K3:K100,May2026!L3:L100,$A125,May2026!M3:M100,$B125)+SUMIFS(Jun2026!K3:K100,Jun2026!L3:L100,$A125,Jun2026!M3:M100,$B125)+SUMIFS(Jul2026!K3:K100,Jul2026!L3:L100,$A125,Jul2026!M3:M100,$B125)+SUMIFS(Aug2026!K3:K100,Aug2026!L3:L100,$A125,Aug2026!M3:M100,$B125)+SUMIFS(Sep2026!K3:K100,Sep2026!L3:L100,$A125,Sep2026!M3:M100,$B125)+SUMIFS(Oct2026!K3:K100,Oct2026!L3:L100,$A125,Oct2026!M3:M100,$B125)+SUMIFS(Nov2026!K3:K100,Nov2026!L3:L100,$A125,Nov2026!M3:M100,$B125)+SUMIFS(Dec2026!K3:K100,Dec2026!L3:L100,$A125,Dec2026!M3:M100,$B125)</f>
        <v/>
      </c>
    </row>
    <row r="126">
      <c r="A126" t="inlineStr">
        <is>
          <t>Materials</t>
        </is>
      </c>
      <c r="B126" t="inlineStr">
        <is>
          <t>Lime</t>
        </is>
      </c>
      <c r="C126" s="8">
        <f>SUMIFS(Jan2026!K3:K100,Jan2026!L3:L100,$A126,Jan2026!M3:M100,$B126)+SUMIFS(Feb2026!K3:K100,Feb2026!L3:L100,$A126,Feb2026!M3:M100,$B126)+SUMIFS(Mar2026!K3:K100,Mar2026!L3:L100,$A126,Mar2026!M3:M100,$B126)+SUMIFS(Apr2026!K3:K100,Apr2026!L3:L100,$A126,Apr2026!M3:M100,$B126)+SUMIFS(May2026!K3:K100,May2026!L3:L100,$A126,May2026!M3:M100,$B126)+SUMIFS(Jun2026!K3:K100,Jun2026!L3:L100,$A126,Jun2026!M3:M100,$B126)+SUMIFS(Jul2026!K3:K100,Jul2026!L3:L100,$A126,Jul2026!M3:M100,$B126)+SUMIFS(Aug2026!K3:K100,Aug2026!L3:L100,$A126,Aug2026!M3:M100,$B126)+SUMIFS(Sep2026!K3:K100,Sep2026!L3:L100,$A126,Sep2026!M3:M100,$B126)+SUMIFS(Oct2026!K3:K100,Oct2026!L3:L100,$A126,Oct2026!M3:M100,$B126)+SUMIFS(Nov2026!K3:K100,Nov2026!L3:L100,$A126,Nov2026!M3:M100,$B126)+SUMIFS(Dec2026!K3:K100,Dec2026!L3:L100,$A126,Dec2026!M3:M100,$B126)</f>
        <v/>
      </c>
    </row>
    <row r="127">
      <c r="A127" t="inlineStr">
        <is>
          <t>Materials</t>
        </is>
      </c>
      <c r="B127" t="inlineStr">
        <is>
          <t>Plaster Sand</t>
        </is>
      </c>
      <c r="C127" s="8">
        <f>SUMIFS(Jan2026!K3:K100,Jan2026!L3:L100,$A127,Jan2026!M3:M100,$B127)+SUMIFS(Feb2026!K3:K100,Feb2026!L3:L100,$A127,Feb2026!M3:M100,$B127)+SUMIFS(Mar2026!K3:K100,Mar2026!L3:L100,$A127,Mar2026!M3:M100,$B127)+SUMIFS(Apr2026!K3:K100,Apr2026!L3:L100,$A127,Apr2026!M3:M100,$B127)+SUMIFS(May2026!K3:K100,May2026!L3:L100,$A127,May2026!M3:M100,$B127)+SUMIFS(Jun2026!K3:K100,Jun2026!L3:L100,$A127,Jun2026!M3:M100,$B127)+SUMIFS(Jul2026!K3:K100,Jul2026!L3:L100,$A127,Jul2026!M3:M100,$B127)+SUMIFS(Aug2026!K3:K100,Aug2026!L3:L100,$A127,Aug2026!M3:M100,$B127)+SUMIFS(Sep2026!K3:K100,Sep2026!L3:L100,$A127,Sep2026!M3:M100,$B127)+SUMIFS(Oct2026!K3:K100,Oct2026!L3:L100,$A127,Oct2026!M3:M100,$B127)+SUMIFS(Nov2026!K3:K100,Nov2026!L3:L100,$A127,Nov2026!M3:M100,$B127)+SUMIFS(Dec2026!K3:K100,Dec2026!L3:L100,$A127,Dec2026!M3:M100,$B127)</f>
        <v/>
      </c>
    </row>
    <row r="128">
      <c r="A128" t="inlineStr">
        <is>
          <t>Materials</t>
        </is>
      </c>
      <c r="B128" t="inlineStr">
        <is>
          <t>Mortar</t>
        </is>
      </c>
      <c r="C128" s="8">
        <f>SUMIFS(Jan2026!K3:K100,Jan2026!L3:L100,$A128,Jan2026!M3:M100,$B128)+SUMIFS(Feb2026!K3:K100,Feb2026!L3:L100,$A128,Feb2026!M3:M100,$B128)+SUMIFS(Mar2026!K3:K100,Mar2026!L3:L100,$A128,Mar2026!M3:M100,$B128)+SUMIFS(Apr2026!K3:K100,Apr2026!L3:L100,$A128,Apr2026!M3:M100,$B128)+SUMIFS(May2026!K3:K100,May2026!L3:L100,$A128,May2026!M3:M100,$B128)+SUMIFS(Jun2026!K3:K100,Jun2026!L3:L100,$A128,Jun2026!M3:M100,$B128)+SUMIFS(Jul2026!K3:K100,Jul2026!L3:L100,$A128,Jul2026!M3:M100,$B128)+SUMIFS(Aug2026!K3:K100,Aug2026!L3:L100,$A128,Aug2026!M3:M100,$B128)+SUMIFS(Sep2026!K3:K100,Sep2026!L3:L100,$A128,Sep2026!M3:M100,$B128)+SUMIFS(Oct2026!K3:K100,Oct2026!L3:L100,$A128,Oct2026!M3:M100,$B128)+SUMIFS(Nov2026!K3:K100,Nov2026!L3:L100,$A128,Nov2026!M3:M100,$B128)+SUMIFS(Dec2026!K3:K100,Dec2026!L3:L100,$A128,Dec2026!M3:M100,$B128)</f>
        <v/>
      </c>
    </row>
    <row r="129">
      <c r="A129" t="inlineStr">
        <is>
          <t>Materials</t>
        </is>
      </c>
      <c r="B129" t="inlineStr">
        <is>
          <t>Waterproofing Chemicals</t>
        </is>
      </c>
      <c r="C129" s="8">
        <f>SUMIFS(Jan2026!K3:K100,Jan2026!L3:L100,$A129,Jan2026!M3:M100,$B129)+SUMIFS(Feb2026!K3:K100,Feb2026!L3:L100,$A129,Feb2026!M3:M100,$B129)+SUMIFS(Mar2026!K3:K100,Mar2026!L3:L100,$A129,Mar2026!M3:M100,$B129)+SUMIFS(Apr2026!K3:K100,Apr2026!L3:L100,$A129,Apr2026!M3:M100,$B129)+SUMIFS(May2026!K3:K100,May2026!L3:L100,$A129,May2026!M3:M100,$B129)+SUMIFS(Jun2026!K3:K100,Jun2026!L3:L100,$A129,Jun2026!M3:M100,$B129)+SUMIFS(Jul2026!K3:K100,Jul2026!L3:L100,$A129,Jul2026!M3:M100,$B129)+SUMIFS(Aug2026!K3:K100,Aug2026!L3:L100,$A129,Aug2026!M3:M100,$B129)+SUMIFS(Sep2026!K3:K100,Sep2026!L3:L100,$A129,Sep2026!M3:M100,$B129)+SUMIFS(Oct2026!K3:K100,Oct2026!L3:L100,$A129,Oct2026!M3:M100,$B129)+SUMIFS(Nov2026!K3:K100,Nov2026!L3:L100,$A129,Nov2026!M3:M100,$B129)+SUMIFS(Dec2026!K3:K100,Dec2026!L3:L100,$A129,Dec2026!M3:M100,$B129)</f>
        <v/>
      </c>
    </row>
    <row r="130">
      <c r="A130" t="inlineStr">
        <is>
          <t>Materials</t>
        </is>
      </c>
      <c r="B130" t="inlineStr">
        <is>
          <t>Tile Adhesive</t>
        </is>
      </c>
      <c r="C130" s="8">
        <f>SUMIFS(Jan2026!K3:K100,Jan2026!L3:L100,$A130,Jan2026!M3:M100,$B130)+SUMIFS(Feb2026!K3:K100,Feb2026!L3:L100,$A130,Feb2026!M3:M100,$B130)+SUMIFS(Mar2026!K3:K100,Mar2026!L3:L100,$A130,Mar2026!M3:M100,$B130)+SUMIFS(Apr2026!K3:K100,Apr2026!L3:L100,$A130,Apr2026!M3:M100,$B130)+SUMIFS(May2026!K3:K100,May2026!L3:L100,$A130,May2026!M3:M100,$B130)+SUMIFS(Jun2026!K3:K100,Jun2026!L3:L100,$A130,Jun2026!M3:M100,$B130)+SUMIFS(Jul2026!K3:K100,Jul2026!L3:L100,$A130,Jul2026!M3:M100,$B130)+SUMIFS(Aug2026!K3:K100,Aug2026!L3:L100,$A130,Aug2026!M3:M100,$B130)+SUMIFS(Sep2026!K3:K100,Sep2026!L3:L100,$A130,Sep2026!M3:M100,$B130)+SUMIFS(Oct2026!K3:K100,Oct2026!L3:L100,$A130,Oct2026!M3:M100,$B130)+SUMIFS(Nov2026!K3:K100,Nov2026!L3:L100,$A130,Nov2026!M3:M100,$B130)+SUMIFS(Dec2026!K3:K100,Dec2026!L3:L100,$A130,Dec2026!M3:M100,$B130)</f>
        <v/>
      </c>
    </row>
    <row r="131">
      <c r="A131" t="inlineStr">
        <is>
          <t>Materials</t>
        </is>
      </c>
      <c r="B131" t="inlineStr">
        <is>
          <t>Wall Putty</t>
        </is>
      </c>
      <c r="C131" s="8">
        <f>SUMIFS(Jan2026!K3:K100,Jan2026!L3:L100,$A131,Jan2026!M3:M100,$B131)+SUMIFS(Feb2026!K3:K100,Feb2026!L3:L100,$A131,Feb2026!M3:M100,$B131)+SUMIFS(Mar2026!K3:K100,Mar2026!L3:L100,$A131,Mar2026!M3:M100,$B131)+SUMIFS(Apr2026!K3:K100,Apr2026!L3:L100,$A131,Apr2026!M3:M100,$B131)+SUMIFS(May2026!K3:K100,May2026!L3:L100,$A131,May2026!M3:M100,$B131)+SUMIFS(Jun2026!K3:K100,Jun2026!L3:L100,$A131,Jun2026!M3:M100,$B131)+SUMIFS(Jul2026!K3:K100,Jul2026!L3:L100,$A131,Jul2026!M3:M100,$B131)+SUMIFS(Aug2026!K3:K100,Aug2026!L3:L100,$A131,Aug2026!M3:M100,$B131)+SUMIFS(Sep2026!K3:K100,Sep2026!L3:L100,$A131,Sep2026!M3:M100,$B131)+SUMIFS(Oct2026!K3:K100,Oct2026!L3:L100,$A131,Oct2026!M3:M100,$B131)+SUMIFS(Nov2026!K3:K100,Nov2026!L3:L100,$A131,Nov2026!M3:M100,$B131)+SUMIFS(Dec2026!K3:K100,Dec2026!L3:L100,$A131,Dec2026!M3:M100,$B131)</f>
        <v/>
      </c>
    </row>
    <row r="132">
      <c r="A132" t="inlineStr">
        <is>
          <t>Materials</t>
        </is>
      </c>
      <c r="B132" t="inlineStr">
        <is>
          <t>Primer</t>
        </is>
      </c>
      <c r="C132" s="8">
        <f>SUMIFS(Jan2026!K3:K100,Jan2026!L3:L100,$A132,Jan2026!M3:M100,$B132)+SUMIFS(Feb2026!K3:K100,Feb2026!L3:L100,$A132,Feb2026!M3:M100,$B132)+SUMIFS(Mar2026!K3:K100,Mar2026!L3:L100,$A132,Mar2026!M3:M100,$B132)+SUMIFS(Apr2026!K3:K100,Apr2026!L3:L100,$A132,Apr2026!M3:M100,$B132)+SUMIFS(May2026!K3:K100,May2026!L3:L100,$A132,May2026!M3:M100,$B132)+SUMIFS(Jun2026!K3:K100,Jun2026!L3:L100,$A132,Jun2026!M3:M100,$B132)+SUMIFS(Jul2026!K3:K100,Jul2026!L3:L100,$A132,Jul2026!M3:M100,$B132)+SUMIFS(Aug2026!K3:K100,Aug2026!L3:L100,$A132,Aug2026!M3:M100,$B132)+SUMIFS(Sep2026!K3:K100,Sep2026!L3:L100,$A132,Sep2026!M3:M100,$B132)+SUMIFS(Oct2026!K3:K100,Oct2026!L3:L100,$A132,Oct2026!M3:M100,$B132)+SUMIFS(Nov2026!K3:K100,Nov2026!L3:L100,$A132,Nov2026!M3:M100,$B132)+SUMIFS(Dec2026!K3:K100,Dec2026!L3:L100,$A132,Dec2026!M3:M100,$B132)</f>
        <v/>
      </c>
    </row>
    <row r="133">
      <c r="A133" t="inlineStr">
        <is>
          <t>Materials</t>
        </is>
      </c>
      <c r="B133" t="inlineStr">
        <is>
          <t>Paint</t>
        </is>
      </c>
      <c r="C133" s="8">
        <f>SUMIFS(Jan2026!K3:K100,Jan2026!L3:L100,$A133,Jan2026!M3:M100,$B133)+SUMIFS(Feb2026!K3:K100,Feb2026!L3:L100,$A133,Feb2026!M3:M100,$B133)+SUMIFS(Mar2026!K3:K100,Mar2026!L3:L100,$A133,Mar2026!M3:M100,$B133)+SUMIFS(Apr2026!K3:K100,Apr2026!L3:L100,$A133,Apr2026!M3:M100,$B133)+SUMIFS(May2026!K3:K100,May2026!L3:L100,$A133,May2026!M3:M100,$B133)+SUMIFS(Jun2026!K3:K100,Jun2026!L3:L100,$A133,Jun2026!M3:M100,$B133)+SUMIFS(Jul2026!K3:K100,Jul2026!L3:L100,$A133,Jul2026!M3:M100,$B133)+SUMIFS(Aug2026!K3:K100,Aug2026!L3:L100,$A133,Aug2026!M3:M100,$B133)+SUMIFS(Sep2026!K3:K100,Sep2026!L3:L100,$A133,Sep2026!M3:M100,$B133)+SUMIFS(Oct2026!K3:K100,Oct2026!L3:L100,$A133,Oct2026!M3:M100,$B133)+SUMIFS(Nov2026!K3:K100,Nov2026!L3:L100,$A133,Nov2026!M3:M100,$B133)+SUMIFS(Dec2026!K3:K100,Dec2026!L3:L100,$A133,Dec2026!M3:M100,$B133)</f>
        <v/>
      </c>
    </row>
    <row r="134">
      <c r="A134" t="inlineStr">
        <is>
          <t>Materials</t>
        </is>
      </c>
      <c r="B134" t="inlineStr">
        <is>
          <t>Texture Paint</t>
        </is>
      </c>
      <c r="C134" s="8">
        <f>SUMIFS(Jan2026!K3:K100,Jan2026!L3:L100,$A134,Jan2026!M3:M100,$B134)+SUMIFS(Feb2026!K3:K100,Feb2026!L3:L100,$A134,Feb2026!M3:M100,$B134)+SUMIFS(Mar2026!K3:K100,Mar2026!L3:L100,$A134,Mar2026!M3:M100,$B134)+SUMIFS(Apr2026!K3:K100,Apr2026!L3:L100,$A134,Apr2026!M3:M100,$B134)+SUMIFS(May2026!K3:K100,May2026!L3:L100,$A134,May2026!M3:M100,$B134)+SUMIFS(Jun2026!K3:K100,Jun2026!L3:L100,$A134,Jun2026!M3:M100,$B134)+SUMIFS(Jul2026!K3:K100,Jul2026!L3:L100,$A134,Jul2026!M3:M100,$B134)+SUMIFS(Aug2026!K3:K100,Aug2026!L3:L100,$A134,Aug2026!M3:M100,$B134)+SUMIFS(Sep2026!K3:K100,Sep2026!L3:L100,$A134,Sep2026!M3:M100,$B134)+SUMIFS(Oct2026!K3:K100,Oct2026!L3:L100,$A134,Oct2026!M3:M100,$B134)+SUMIFS(Nov2026!K3:K100,Nov2026!L3:L100,$A134,Nov2026!M3:M100,$B134)+SUMIFS(Dec2026!K3:K100,Dec2026!L3:L100,$A134,Dec2026!M3:M100,$B134)</f>
        <v/>
      </c>
    </row>
    <row r="135">
      <c r="A135" t="inlineStr">
        <is>
          <t>Materials</t>
        </is>
      </c>
      <c r="B135" t="inlineStr">
        <is>
          <t>Wood</t>
        </is>
      </c>
      <c r="C135" s="8">
        <f>SUMIFS(Jan2026!K3:K100,Jan2026!L3:L100,$A135,Jan2026!M3:M100,$B135)+SUMIFS(Feb2026!K3:K100,Feb2026!L3:L100,$A135,Feb2026!M3:M100,$B135)+SUMIFS(Mar2026!K3:K100,Mar2026!L3:L100,$A135,Mar2026!M3:M100,$B135)+SUMIFS(Apr2026!K3:K100,Apr2026!L3:L100,$A135,Apr2026!M3:M100,$B135)+SUMIFS(May2026!K3:K100,May2026!L3:L100,$A135,May2026!M3:M100,$B135)+SUMIFS(Jun2026!K3:K100,Jun2026!L3:L100,$A135,Jun2026!M3:M100,$B135)+SUMIFS(Jul2026!K3:K100,Jul2026!L3:L100,$A135,Jul2026!M3:M100,$B135)+SUMIFS(Aug2026!K3:K100,Aug2026!L3:L100,$A135,Aug2026!M3:M100,$B135)+SUMIFS(Sep2026!K3:K100,Sep2026!L3:L100,$A135,Sep2026!M3:M100,$B135)+SUMIFS(Oct2026!K3:K100,Oct2026!L3:L100,$A135,Oct2026!M3:M100,$B135)+SUMIFS(Nov2026!K3:K100,Nov2026!L3:L100,$A135,Nov2026!M3:M100,$B135)+SUMIFS(Dec2026!K3:K100,Dec2026!L3:L100,$A135,Dec2026!M3:M100,$B135)</f>
        <v/>
      </c>
    </row>
    <row r="136">
      <c r="A136" t="inlineStr">
        <is>
          <t>Materials</t>
        </is>
      </c>
      <c r="B136" t="inlineStr">
        <is>
          <t>Plywood</t>
        </is>
      </c>
      <c r="C136" s="8">
        <f>SUMIFS(Jan2026!K3:K100,Jan2026!L3:L100,$A136,Jan2026!M3:M100,$B136)+SUMIFS(Feb2026!K3:K100,Feb2026!L3:L100,$A136,Feb2026!M3:M100,$B136)+SUMIFS(Mar2026!K3:K100,Mar2026!L3:L100,$A136,Mar2026!M3:M100,$B136)+SUMIFS(Apr2026!K3:K100,Apr2026!L3:L100,$A136,Apr2026!M3:M100,$B136)+SUMIFS(May2026!K3:K100,May2026!L3:L100,$A136,May2026!M3:M100,$B136)+SUMIFS(Jun2026!K3:K100,Jun2026!L3:L100,$A136,Jun2026!M3:M100,$B136)+SUMIFS(Jul2026!K3:K100,Jul2026!L3:L100,$A136,Jul2026!M3:M100,$B136)+SUMIFS(Aug2026!K3:K100,Aug2026!L3:L100,$A136,Aug2026!M3:M100,$B136)+SUMIFS(Sep2026!K3:K100,Sep2026!L3:L100,$A136,Sep2026!M3:M100,$B136)+SUMIFS(Oct2026!K3:K100,Oct2026!L3:L100,$A136,Oct2026!M3:M100,$B136)+SUMIFS(Nov2026!K3:K100,Nov2026!L3:L100,$A136,Nov2026!M3:M100,$B136)+SUMIFS(Dec2026!K3:K100,Dec2026!L3:L100,$A136,Dec2026!M3:M100,$B136)</f>
        <v/>
      </c>
    </row>
    <row r="137">
      <c r="A137" t="inlineStr">
        <is>
          <t>Materials</t>
        </is>
      </c>
      <c r="B137" t="inlineStr">
        <is>
          <t>MDF Boards</t>
        </is>
      </c>
      <c r="C137" s="8">
        <f>SUMIFS(Jan2026!K3:K100,Jan2026!L3:L100,$A137,Jan2026!M3:M100,$B137)+SUMIFS(Feb2026!K3:K100,Feb2026!L3:L100,$A137,Feb2026!M3:M100,$B137)+SUMIFS(Mar2026!K3:K100,Mar2026!L3:L100,$A137,Mar2026!M3:M100,$B137)+SUMIFS(Apr2026!K3:K100,Apr2026!L3:L100,$A137,Apr2026!M3:M100,$B137)+SUMIFS(May2026!K3:K100,May2026!L3:L100,$A137,May2026!M3:M100,$B137)+SUMIFS(Jun2026!K3:K100,Jun2026!L3:L100,$A137,Jun2026!M3:M100,$B137)+SUMIFS(Jul2026!K3:K100,Jul2026!L3:L100,$A137,Jul2026!M3:M100,$B137)+SUMIFS(Aug2026!K3:K100,Aug2026!L3:L100,$A137,Aug2026!M3:M100,$B137)+SUMIFS(Sep2026!K3:K100,Sep2026!L3:L100,$A137,Sep2026!M3:M100,$B137)+SUMIFS(Oct2026!K3:K100,Oct2026!L3:L100,$A137,Oct2026!M3:M100,$B137)+SUMIFS(Nov2026!K3:K100,Nov2026!L3:L100,$A137,Nov2026!M3:M100,$B137)+SUMIFS(Dec2026!K3:K100,Dec2026!L3:L100,$A137,Dec2026!M3:M100,$B137)</f>
        <v/>
      </c>
    </row>
    <row r="138">
      <c r="A138" t="inlineStr">
        <is>
          <t>Materials</t>
        </is>
      </c>
      <c r="B138" t="inlineStr">
        <is>
          <t>Laminates</t>
        </is>
      </c>
      <c r="C138" s="8">
        <f>SUMIFS(Jan2026!K3:K100,Jan2026!L3:L100,$A138,Jan2026!M3:M100,$B138)+SUMIFS(Feb2026!K3:K100,Feb2026!L3:L100,$A138,Feb2026!M3:M100,$B138)+SUMIFS(Mar2026!K3:K100,Mar2026!L3:L100,$A138,Mar2026!M3:M100,$B138)+SUMIFS(Apr2026!K3:K100,Apr2026!L3:L100,$A138,Apr2026!M3:M100,$B138)+SUMIFS(May2026!K3:K100,May2026!L3:L100,$A138,May2026!M3:M100,$B138)+SUMIFS(Jun2026!K3:K100,Jun2026!L3:L100,$A138,Jun2026!M3:M100,$B138)+SUMIFS(Jul2026!K3:K100,Jul2026!L3:L100,$A138,Jul2026!M3:M100,$B138)+SUMIFS(Aug2026!K3:K100,Aug2026!L3:L100,$A138,Aug2026!M3:M100,$B138)+SUMIFS(Sep2026!K3:K100,Sep2026!L3:L100,$A138,Sep2026!M3:M100,$B138)+SUMIFS(Oct2026!K3:K100,Oct2026!L3:L100,$A138,Oct2026!M3:M100,$B138)+SUMIFS(Nov2026!K3:K100,Nov2026!L3:L100,$A138,Nov2026!M3:M100,$B138)+SUMIFS(Dec2026!K3:K100,Dec2026!L3:L100,$A138,Dec2026!M3:M100,$B138)</f>
        <v/>
      </c>
    </row>
    <row r="139">
      <c r="A139" t="inlineStr">
        <is>
          <t>Materials</t>
        </is>
      </c>
      <c r="B139" t="inlineStr">
        <is>
          <t>Veneer</t>
        </is>
      </c>
      <c r="C139" s="8">
        <f>SUMIFS(Jan2026!K3:K100,Jan2026!L3:L100,$A139,Jan2026!M3:M100,$B139)+SUMIFS(Feb2026!K3:K100,Feb2026!L3:L100,$A139,Feb2026!M3:M100,$B139)+SUMIFS(Mar2026!K3:K100,Mar2026!L3:L100,$A139,Mar2026!M3:M100,$B139)+SUMIFS(Apr2026!K3:K100,Apr2026!L3:L100,$A139,Apr2026!M3:M100,$B139)+SUMIFS(May2026!K3:K100,May2026!L3:L100,$A139,May2026!M3:M100,$B139)+SUMIFS(Jun2026!K3:K100,Jun2026!L3:L100,$A139,Jun2026!M3:M100,$B139)+SUMIFS(Jul2026!K3:K100,Jul2026!L3:L100,$A139,Jul2026!M3:M100,$B139)+SUMIFS(Aug2026!K3:K100,Aug2026!L3:L100,$A139,Aug2026!M3:M100,$B139)+SUMIFS(Sep2026!K3:K100,Sep2026!L3:L100,$A139,Sep2026!M3:M100,$B139)+SUMIFS(Oct2026!K3:K100,Oct2026!L3:L100,$A139,Oct2026!M3:M100,$B139)+SUMIFS(Nov2026!K3:K100,Nov2026!L3:L100,$A139,Nov2026!M3:M100,$B139)+SUMIFS(Dec2026!K3:K100,Dec2026!L3:L100,$A139,Dec2026!M3:M100,$B139)</f>
        <v/>
      </c>
    </row>
    <row r="140">
      <c r="A140" t="inlineStr">
        <is>
          <t>Materials</t>
        </is>
      </c>
      <c r="B140" t="inlineStr">
        <is>
          <t>UPVC Windows</t>
        </is>
      </c>
      <c r="C140" s="8">
        <f>SUMIFS(Jan2026!K3:K100,Jan2026!L3:L100,$A140,Jan2026!M3:M100,$B140)+SUMIFS(Feb2026!K3:K100,Feb2026!L3:L100,$A140,Feb2026!M3:M100,$B140)+SUMIFS(Mar2026!K3:K100,Mar2026!L3:L100,$A140,Mar2026!M3:M100,$B140)+SUMIFS(Apr2026!K3:K100,Apr2026!L3:L100,$A140,Apr2026!M3:M100,$B140)+SUMIFS(May2026!K3:K100,May2026!L3:L100,$A140,May2026!M3:M100,$B140)+SUMIFS(Jun2026!K3:K100,Jun2026!L3:L100,$A140,Jun2026!M3:M100,$B140)+SUMIFS(Jul2026!K3:K100,Jul2026!L3:L100,$A140,Jul2026!M3:M100,$B140)+SUMIFS(Aug2026!K3:K100,Aug2026!L3:L100,$A140,Aug2026!M3:M100,$B140)+SUMIFS(Sep2026!K3:K100,Sep2026!L3:L100,$A140,Sep2026!M3:M100,$B140)+SUMIFS(Oct2026!K3:K100,Oct2026!L3:L100,$A140,Oct2026!M3:M100,$B140)+SUMIFS(Nov2026!K3:K100,Nov2026!L3:L100,$A140,Nov2026!M3:M100,$B140)+SUMIFS(Dec2026!K3:K100,Dec2026!L3:L100,$A140,Dec2026!M3:M100,$B140)</f>
        <v/>
      </c>
    </row>
    <row r="141">
      <c r="A141" t="inlineStr">
        <is>
          <t>Materials</t>
        </is>
      </c>
      <c r="B141" t="inlineStr">
        <is>
          <t>Aluminum Windows</t>
        </is>
      </c>
      <c r="C141" s="8">
        <f>SUMIFS(Jan2026!K3:K100,Jan2026!L3:L100,$A141,Jan2026!M3:M100,$B141)+SUMIFS(Feb2026!K3:K100,Feb2026!L3:L100,$A141,Feb2026!M3:M100,$B141)+SUMIFS(Mar2026!K3:K100,Mar2026!L3:L100,$A141,Mar2026!M3:M100,$B141)+SUMIFS(Apr2026!K3:K100,Apr2026!L3:L100,$A141,Apr2026!M3:M100,$B141)+SUMIFS(May2026!K3:K100,May2026!L3:L100,$A141,May2026!M3:M100,$B141)+SUMIFS(Jun2026!K3:K100,Jun2026!L3:L100,$A141,Jun2026!M3:M100,$B141)+SUMIFS(Jul2026!K3:K100,Jul2026!L3:L100,$A141,Jul2026!M3:M100,$B141)+SUMIFS(Aug2026!K3:K100,Aug2026!L3:L100,$A141,Aug2026!M3:M100,$B141)+SUMIFS(Sep2026!K3:K100,Sep2026!L3:L100,$A141,Sep2026!M3:M100,$B141)+SUMIFS(Oct2026!K3:K100,Oct2026!L3:L100,$A141,Oct2026!M3:M100,$B141)+SUMIFS(Nov2026!K3:K100,Nov2026!L3:L100,$A141,Nov2026!M3:M100,$B141)+SUMIFS(Dec2026!K3:K100,Dec2026!L3:L100,$A141,Dec2026!M3:M100,$B141)</f>
        <v/>
      </c>
    </row>
    <row r="142">
      <c r="A142" t="inlineStr">
        <is>
          <t>Materials</t>
        </is>
      </c>
      <c r="B142" t="inlineStr">
        <is>
          <t>Glass</t>
        </is>
      </c>
      <c r="C142" s="8">
        <f>SUMIFS(Jan2026!K3:K100,Jan2026!L3:L100,$A142,Jan2026!M3:M100,$B142)+SUMIFS(Feb2026!K3:K100,Feb2026!L3:L100,$A142,Feb2026!M3:M100,$B142)+SUMIFS(Mar2026!K3:K100,Mar2026!L3:L100,$A142,Mar2026!M3:M100,$B142)+SUMIFS(Apr2026!K3:K100,Apr2026!L3:L100,$A142,Apr2026!M3:M100,$B142)+SUMIFS(May2026!K3:K100,May2026!L3:L100,$A142,May2026!M3:M100,$B142)+SUMIFS(Jun2026!K3:K100,Jun2026!L3:L100,$A142,Jun2026!M3:M100,$B142)+SUMIFS(Jul2026!K3:K100,Jul2026!L3:L100,$A142,Jul2026!M3:M100,$B142)+SUMIFS(Aug2026!K3:K100,Aug2026!L3:L100,$A142,Aug2026!M3:M100,$B142)+SUMIFS(Sep2026!K3:K100,Sep2026!L3:L100,$A142,Sep2026!M3:M100,$B142)+SUMIFS(Oct2026!K3:K100,Oct2026!L3:L100,$A142,Oct2026!M3:M100,$B142)+SUMIFS(Nov2026!K3:K100,Nov2026!L3:L100,$A142,Nov2026!M3:M100,$B142)+SUMIFS(Dec2026!K3:K100,Dec2026!L3:L100,$A142,Dec2026!M3:M100,$B142)</f>
        <v/>
      </c>
    </row>
    <row r="143">
      <c r="A143" t="inlineStr">
        <is>
          <t>Materials</t>
        </is>
      </c>
      <c r="B143" t="inlineStr">
        <is>
          <t>Doors</t>
        </is>
      </c>
      <c r="C143" s="8">
        <f>SUMIFS(Jan2026!K3:K100,Jan2026!L3:L100,$A143,Jan2026!M3:M100,$B143)+SUMIFS(Feb2026!K3:K100,Feb2026!L3:L100,$A143,Feb2026!M3:M100,$B143)+SUMIFS(Mar2026!K3:K100,Mar2026!L3:L100,$A143,Mar2026!M3:M100,$B143)+SUMIFS(Apr2026!K3:K100,Apr2026!L3:L100,$A143,Apr2026!M3:M100,$B143)+SUMIFS(May2026!K3:K100,May2026!L3:L100,$A143,May2026!M3:M100,$B143)+SUMIFS(Jun2026!K3:K100,Jun2026!L3:L100,$A143,Jun2026!M3:M100,$B143)+SUMIFS(Jul2026!K3:K100,Jul2026!L3:L100,$A143,Jul2026!M3:M100,$B143)+SUMIFS(Aug2026!K3:K100,Aug2026!L3:L100,$A143,Aug2026!M3:M100,$B143)+SUMIFS(Sep2026!K3:K100,Sep2026!L3:L100,$A143,Sep2026!M3:M100,$B143)+SUMIFS(Oct2026!K3:K100,Oct2026!L3:L100,$A143,Oct2026!M3:M100,$B143)+SUMIFS(Nov2026!K3:K100,Nov2026!L3:L100,$A143,Nov2026!M3:M100,$B143)+SUMIFS(Dec2026!K3:K100,Dec2026!L3:L100,$A143,Dec2026!M3:M100,$B143)</f>
        <v/>
      </c>
    </row>
    <row r="144">
      <c r="A144" t="inlineStr">
        <is>
          <t>Materials</t>
        </is>
      </c>
      <c r="B144" t="inlineStr">
        <is>
          <t>Door Frames</t>
        </is>
      </c>
      <c r="C144" s="8">
        <f>SUMIFS(Jan2026!K3:K100,Jan2026!L3:L100,$A144,Jan2026!M3:M100,$B144)+SUMIFS(Feb2026!K3:K100,Feb2026!L3:L100,$A144,Feb2026!M3:M100,$B144)+SUMIFS(Mar2026!K3:K100,Mar2026!L3:L100,$A144,Mar2026!M3:M100,$B144)+SUMIFS(Apr2026!K3:K100,Apr2026!L3:L100,$A144,Apr2026!M3:M100,$B144)+SUMIFS(May2026!K3:K100,May2026!L3:L100,$A144,May2026!M3:M100,$B144)+SUMIFS(Jun2026!K3:K100,Jun2026!L3:L100,$A144,Jun2026!M3:M100,$B144)+SUMIFS(Jul2026!K3:K100,Jul2026!L3:L100,$A144,Jul2026!M3:M100,$B144)+SUMIFS(Aug2026!K3:K100,Aug2026!L3:L100,$A144,Aug2026!M3:M100,$B144)+SUMIFS(Sep2026!K3:K100,Sep2026!L3:L100,$A144,Sep2026!M3:M100,$B144)+SUMIFS(Oct2026!K3:K100,Oct2026!L3:L100,$A144,Oct2026!M3:M100,$B144)+SUMIFS(Nov2026!K3:K100,Nov2026!L3:L100,$A144,Nov2026!M3:M100,$B144)+SUMIFS(Dec2026!K3:K100,Dec2026!L3:L100,$A144,Dec2026!M3:M100,$B144)</f>
        <v/>
      </c>
    </row>
    <row r="145">
      <c r="A145" t="inlineStr">
        <is>
          <t>Materials</t>
        </is>
      </c>
      <c r="B145" t="inlineStr">
        <is>
          <t>Door Hardware</t>
        </is>
      </c>
      <c r="C145" s="8">
        <f>SUMIFS(Jan2026!K3:K100,Jan2026!L3:L100,$A145,Jan2026!M3:M100,$B145)+SUMIFS(Feb2026!K3:K100,Feb2026!L3:L100,$A145,Feb2026!M3:M100,$B145)+SUMIFS(Mar2026!K3:K100,Mar2026!L3:L100,$A145,Mar2026!M3:M100,$B145)+SUMIFS(Apr2026!K3:K100,Apr2026!L3:L100,$A145,Apr2026!M3:M100,$B145)+SUMIFS(May2026!K3:K100,May2026!L3:L100,$A145,May2026!M3:M100,$B145)+SUMIFS(Jun2026!K3:K100,Jun2026!L3:L100,$A145,Jun2026!M3:M100,$B145)+SUMIFS(Jul2026!K3:K100,Jul2026!L3:L100,$A145,Jul2026!M3:M100,$B145)+SUMIFS(Aug2026!K3:K100,Aug2026!L3:L100,$A145,Aug2026!M3:M100,$B145)+SUMIFS(Sep2026!K3:K100,Sep2026!L3:L100,$A145,Sep2026!M3:M100,$B145)+SUMIFS(Oct2026!K3:K100,Oct2026!L3:L100,$A145,Oct2026!M3:M100,$B145)+SUMIFS(Nov2026!K3:K100,Nov2026!L3:L100,$A145,Nov2026!M3:M100,$B145)+SUMIFS(Dec2026!K3:K100,Dec2026!L3:L100,$A145,Dec2026!M3:M100,$B145)</f>
        <v/>
      </c>
    </row>
    <row r="146">
      <c r="A146" t="inlineStr">
        <is>
          <t>Materials</t>
        </is>
      </c>
      <c r="B146" t="inlineStr">
        <is>
          <t>Roofing Sheets</t>
        </is>
      </c>
      <c r="C146" s="8">
        <f>SUMIFS(Jan2026!K3:K100,Jan2026!L3:L100,$A146,Jan2026!M3:M100,$B146)+SUMIFS(Feb2026!K3:K100,Feb2026!L3:L100,$A146,Feb2026!M3:M100,$B146)+SUMIFS(Mar2026!K3:K100,Mar2026!L3:L100,$A146,Mar2026!M3:M100,$B146)+SUMIFS(Apr2026!K3:K100,Apr2026!L3:L100,$A146,Apr2026!M3:M100,$B146)+SUMIFS(May2026!K3:K100,May2026!L3:L100,$A146,May2026!M3:M100,$B146)+SUMIFS(Jun2026!K3:K100,Jun2026!L3:L100,$A146,Jun2026!M3:M100,$B146)+SUMIFS(Jul2026!K3:K100,Jul2026!L3:L100,$A146,Jul2026!M3:M100,$B146)+SUMIFS(Aug2026!K3:K100,Aug2026!L3:L100,$A146,Aug2026!M3:M100,$B146)+SUMIFS(Sep2026!K3:K100,Sep2026!L3:L100,$A146,Sep2026!M3:M100,$B146)+SUMIFS(Oct2026!K3:K100,Oct2026!L3:L100,$A146,Oct2026!M3:M100,$B146)+SUMIFS(Nov2026!K3:K100,Nov2026!L3:L100,$A146,Nov2026!M3:M100,$B146)+SUMIFS(Dec2026!K3:K100,Dec2026!L3:L100,$A146,Dec2026!M3:M100,$B146)</f>
        <v/>
      </c>
    </row>
    <row r="147">
      <c r="A147" t="inlineStr">
        <is>
          <t>Materials</t>
        </is>
      </c>
      <c r="B147" t="inlineStr">
        <is>
          <t>False Ceiling Materials</t>
        </is>
      </c>
      <c r="C147" s="8">
        <f>SUMIFS(Jan2026!K3:K100,Jan2026!L3:L100,$A147,Jan2026!M3:M100,$B147)+SUMIFS(Feb2026!K3:K100,Feb2026!L3:L100,$A147,Feb2026!M3:M100,$B147)+SUMIFS(Mar2026!K3:K100,Mar2026!L3:L100,$A147,Mar2026!M3:M100,$B147)+SUMIFS(Apr2026!K3:K100,Apr2026!L3:L100,$A147,Apr2026!M3:M100,$B147)+SUMIFS(May2026!K3:K100,May2026!L3:L100,$A147,May2026!M3:M100,$B147)+SUMIFS(Jun2026!K3:K100,Jun2026!L3:L100,$A147,Jun2026!M3:M100,$B147)+SUMIFS(Jul2026!K3:K100,Jul2026!L3:L100,$A147,Jul2026!M3:M100,$B147)+SUMIFS(Aug2026!K3:K100,Aug2026!L3:L100,$A147,Aug2026!M3:M100,$B147)+SUMIFS(Sep2026!K3:K100,Sep2026!L3:L100,$A147,Sep2026!M3:M100,$B147)+SUMIFS(Oct2026!K3:K100,Oct2026!L3:L100,$A147,Oct2026!M3:M100,$B147)+SUMIFS(Nov2026!K3:K100,Nov2026!L3:L100,$A147,Nov2026!M3:M100,$B147)+SUMIFS(Dec2026!K3:K100,Dec2026!L3:L100,$A147,Dec2026!M3:M100,$B147)</f>
        <v/>
      </c>
    </row>
    <row r="148">
      <c r="A148" t="inlineStr">
        <is>
          <t>Materials</t>
        </is>
      </c>
      <c r="B148" t="inlineStr">
        <is>
          <t>Gypsum Boards</t>
        </is>
      </c>
      <c r="C148" s="8">
        <f>SUMIFS(Jan2026!K3:K100,Jan2026!L3:L100,$A148,Jan2026!M3:M100,$B148)+SUMIFS(Feb2026!K3:K100,Feb2026!L3:L100,$A148,Feb2026!M3:M100,$B148)+SUMIFS(Mar2026!K3:K100,Mar2026!L3:L100,$A148,Mar2026!M3:M100,$B148)+SUMIFS(Apr2026!K3:K100,Apr2026!L3:L100,$A148,Apr2026!M3:M100,$B148)+SUMIFS(May2026!K3:K100,May2026!L3:L100,$A148,May2026!M3:M100,$B148)+SUMIFS(Jun2026!K3:K100,Jun2026!L3:L100,$A148,Jun2026!M3:M100,$B148)+SUMIFS(Jul2026!K3:K100,Jul2026!L3:L100,$A148,Jul2026!M3:M100,$B148)+SUMIFS(Aug2026!K3:K100,Aug2026!L3:L100,$A148,Aug2026!M3:M100,$B148)+SUMIFS(Sep2026!K3:K100,Sep2026!L3:L100,$A148,Sep2026!M3:M100,$B148)+SUMIFS(Oct2026!K3:K100,Oct2026!L3:L100,$A148,Oct2026!M3:M100,$B148)+SUMIFS(Nov2026!K3:K100,Nov2026!L3:L100,$A148,Nov2026!M3:M100,$B148)+SUMIFS(Dec2026!K3:K100,Dec2026!L3:L100,$A148,Dec2026!M3:M100,$B148)</f>
        <v/>
      </c>
    </row>
    <row r="149">
      <c r="A149" t="inlineStr">
        <is>
          <t>Materials</t>
        </is>
      </c>
      <c r="B149" t="inlineStr">
        <is>
          <t>Ceiling Channels</t>
        </is>
      </c>
      <c r="C149" s="8">
        <f>SUMIFS(Jan2026!K3:K100,Jan2026!L3:L100,$A149,Jan2026!M3:M100,$B149)+SUMIFS(Feb2026!K3:K100,Feb2026!L3:L100,$A149,Feb2026!M3:M100,$B149)+SUMIFS(Mar2026!K3:K100,Mar2026!L3:L100,$A149,Mar2026!M3:M100,$B149)+SUMIFS(Apr2026!K3:K100,Apr2026!L3:L100,$A149,Apr2026!M3:M100,$B149)+SUMIFS(May2026!K3:K100,May2026!L3:L100,$A149,May2026!M3:M100,$B149)+SUMIFS(Jun2026!K3:K100,Jun2026!L3:L100,$A149,Jun2026!M3:M100,$B149)+SUMIFS(Jul2026!K3:K100,Jul2026!L3:L100,$A149,Jul2026!M3:M100,$B149)+SUMIFS(Aug2026!K3:K100,Aug2026!L3:L100,$A149,Aug2026!M3:M100,$B149)+SUMIFS(Sep2026!K3:K100,Sep2026!L3:L100,$A149,Sep2026!M3:M100,$B149)+SUMIFS(Oct2026!K3:K100,Oct2026!L3:L100,$A149,Oct2026!M3:M100,$B149)+SUMIFS(Nov2026!K3:K100,Nov2026!L3:L100,$A149,Nov2026!M3:M100,$B149)+SUMIFS(Dec2026!K3:K100,Dec2026!L3:L100,$A149,Dec2026!M3:M100,$B149)</f>
        <v/>
      </c>
    </row>
    <row r="150">
      <c r="A150" t="inlineStr">
        <is>
          <t>Materials</t>
        </is>
      </c>
      <c r="B150" t="inlineStr">
        <is>
          <t>Floor Tiles</t>
        </is>
      </c>
      <c r="C150" s="8">
        <f>SUMIFS(Jan2026!K3:K100,Jan2026!L3:L100,$A150,Jan2026!M3:M100,$B150)+SUMIFS(Feb2026!K3:K100,Feb2026!L3:L100,$A150,Feb2026!M3:M100,$B150)+SUMIFS(Mar2026!K3:K100,Mar2026!L3:L100,$A150,Mar2026!M3:M100,$B150)+SUMIFS(Apr2026!K3:K100,Apr2026!L3:L100,$A150,Apr2026!M3:M100,$B150)+SUMIFS(May2026!K3:K100,May2026!L3:L100,$A150,May2026!M3:M100,$B150)+SUMIFS(Jun2026!K3:K100,Jun2026!L3:L100,$A150,Jun2026!M3:M100,$B150)+SUMIFS(Jul2026!K3:K100,Jul2026!L3:L100,$A150,Jul2026!M3:M100,$B150)+SUMIFS(Aug2026!K3:K100,Aug2026!L3:L100,$A150,Aug2026!M3:M100,$B150)+SUMIFS(Sep2026!K3:K100,Sep2026!L3:L100,$A150,Sep2026!M3:M100,$B150)+SUMIFS(Oct2026!K3:K100,Oct2026!L3:L100,$A150,Oct2026!M3:M100,$B150)+SUMIFS(Nov2026!K3:K100,Nov2026!L3:L100,$A150,Nov2026!M3:M100,$B150)+SUMIFS(Dec2026!K3:K100,Dec2026!L3:L100,$A150,Dec2026!M3:M100,$B150)</f>
        <v/>
      </c>
    </row>
    <row r="151">
      <c r="A151" t="inlineStr">
        <is>
          <t>Materials</t>
        </is>
      </c>
      <c r="B151" t="inlineStr">
        <is>
          <t>Wall Tiles</t>
        </is>
      </c>
      <c r="C151" s="8">
        <f>SUMIFS(Jan2026!K3:K100,Jan2026!L3:L100,$A151,Jan2026!M3:M100,$B151)+SUMIFS(Feb2026!K3:K100,Feb2026!L3:L100,$A151,Feb2026!M3:M100,$B151)+SUMIFS(Mar2026!K3:K100,Mar2026!L3:L100,$A151,Mar2026!M3:M100,$B151)+SUMIFS(Apr2026!K3:K100,Apr2026!L3:L100,$A151,Apr2026!M3:M100,$B151)+SUMIFS(May2026!K3:K100,May2026!L3:L100,$A151,May2026!M3:M100,$B151)+SUMIFS(Jun2026!K3:K100,Jun2026!L3:L100,$A151,Jun2026!M3:M100,$B151)+SUMIFS(Jul2026!K3:K100,Jul2026!L3:L100,$A151,Jul2026!M3:M100,$B151)+SUMIFS(Aug2026!K3:K100,Aug2026!L3:L100,$A151,Aug2026!M3:M100,$B151)+SUMIFS(Sep2026!K3:K100,Sep2026!L3:L100,$A151,Sep2026!M3:M100,$B151)+SUMIFS(Oct2026!K3:K100,Oct2026!L3:L100,$A151,Oct2026!M3:M100,$B151)+SUMIFS(Nov2026!K3:K100,Nov2026!L3:L100,$A151,Nov2026!M3:M100,$B151)+SUMIFS(Dec2026!K3:K100,Dec2026!L3:L100,$A151,Dec2026!M3:M100,$B151)</f>
        <v/>
      </c>
    </row>
    <row r="152">
      <c r="A152" t="inlineStr">
        <is>
          <t>Materials</t>
        </is>
      </c>
      <c r="B152" t="inlineStr">
        <is>
          <t>Marble</t>
        </is>
      </c>
      <c r="C152" s="8">
        <f>SUMIFS(Jan2026!K3:K100,Jan2026!L3:L100,$A152,Jan2026!M3:M100,$B152)+SUMIFS(Feb2026!K3:K100,Feb2026!L3:L100,$A152,Feb2026!M3:M100,$B152)+SUMIFS(Mar2026!K3:K100,Mar2026!L3:L100,$A152,Mar2026!M3:M100,$B152)+SUMIFS(Apr2026!K3:K100,Apr2026!L3:L100,$A152,Apr2026!M3:M100,$B152)+SUMIFS(May2026!K3:K100,May2026!L3:L100,$A152,May2026!M3:M100,$B152)+SUMIFS(Jun2026!K3:K100,Jun2026!L3:L100,$A152,Jun2026!M3:M100,$B152)+SUMIFS(Jul2026!K3:K100,Jul2026!L3:L100,$A152,Jul2026!M3:M100,$B152)+SUMIFS(Aug2026!K3:K100,Aug2026!L3:L100,$A152,Aug2026!M3:M100,$B152)+SUMIFS(Sep2026!K3:K100,Sep2026!L3:L100,$A152,Sep2026!M3:M100,$B152)+SUMIFS(Oct2026!K3:K100,Oct2026!L3:L100,$A152,Oct2026!M3:M100,$B152)+SUMIFS(Nov2026!K3:K100,Nov2026!L3:L100,$A152,Nov2026!M3:M100,$B152)+SUMIFS(Dec2026!K3:K100,Dec2026!L3:L100,$A152,Dec2026!M3:M100,$B152)</f>
        <v/>
      </c>
    </row>
    <row r="153">
      <c r="A153" t="inlineStr">
        <is>
          <t>Materials</t>
        </is>
      </c>
      <c r="B153" t="inlineStr">
        <is>
          <t>Granite</t>
        </is>
      </c>
      <c r="C153" s="8">
        <f>SUMIFS(Jan2026!K3:K100,Jan2026!L3:L100,$A153,Jan2026!M3:M100,$B153)+SUMIFS(Feb2026!K3:K100,Feb2026!L3:L100,$A153,Feb2026!M3:M100,$B153)+SUMIFS(Mar2026!K3:K100,Mar2026!L3:L100,$A153,Mar2026!M3:M100,$B153)+SUMIFS(Apr2026!K3:K100,Apr2026!L3:L100,$A153,Apr2026!M3:M100,$B153)+SUMIFS(May2026!K3:K100,May2026!L3:L100,$A153,May2026!M3:M100,$B153)+SUMIFS(Jun2026!K3:K100,Jun2026!L3:L100,$A153,Jun2026!M3:M100,$B153)+SUMIFS(Jul2026!K3:K100,Jul2026!L3:L100,$A153,Jul2026!M3:M100,$B153)+SUMIFS(Aug2026!K3:K100,Aug2026!L3:L100,$A153,Aug2026!M3:M100,$B153)+SUMIFS(Sep2026!K3:K100,Sep2026!L3:L100,$A153,Sep2026!M3:M100,$B153)+SUMIFS(Oct2026!K3:K100,Oct2026!L3:L100,$A153,Oct2026!M3:M100,$B153)+SUMIFS(Nov2026!K3:K100,Nov2026!L3:L100,$A153,Nov2026!M3:M100,$B153)+SUMIFS(Dec2026!K3:K100,Dec2026!L3:L100,$A153,Dec2026!M3:M100,$B153)</f>
        <v/>
      </c>
    </row>
    <row r="154">
      <c r="A154" t="inlineStr">
        <is>
          <t>Materials</t>
        </is>
      </c>
      <c r="B154" t="inlineStr">
        <is>
          <t>Quartz</t>
        </is>
      </c>
      <c r="C154" s="8">
        <f>SUMIFS(Jan2026!K3:K100,Jan2026!L3:L100,$A154,Jan2026!M3:M100,$B154)+SUMIFS(Feb2026!K3:K100,Feb2026!L3:L100,$A154,Feb2026!M3:M100,$B154)+SUMIFS(Mar2026!K3:K100,Mar2026!L3:L100,$A154,Mar2026!M3:M100,$B154)+SUMIFS(Apr2026!K3:K100,Apr2026!L3:L100,$A154,Apr2026!M3:M100,$B154)+SUMIFS(May2026!K3:K100,May2026!L3:L100,$A154,May2026!M3:M100,$B154)+SUMIFS(Jun2026!K3:K100,Jun2026!L3:L100,$A154,Jun2026!M3:M100,$B154)+SUMIFS(Jul2026!K3:K100,Jul2026!L3:L100,$A154,Jul2026!M3:M100,$B154)+SUMIFS(Aug2026!K3:K100,Aug2026!L3:L100,$A154,Aug2026!M3:M100,$B154)+SUMIFS(Sep2026!K3:K100,Sep2026!L3:L100,$A154,Sep2026!M3:M100,$B154)+SUMIFS(Oct2026!K3:K100,Oct2026!L3:L100,$A154,Oct2026!M3:M100,$B154)+SUMIFS(Nov2026!K3:K100,Nov2026!L3:L100,$A154,Nov2026!M3:M100,$B154)+SUMIFS(Dec2026!K3:K100,Dec2026!L3:L100,$A154,Dec2026!M3:M100,$B154)</f>
        <v/>
      </c>
    </row>
    <row r="155">
      <c r="A155" t="inlineStr">
        <is>
          <t>Materials</t>
        </is>
      </c>
      <c r="B155" t="inlineStr">
        <is>
          <t>Kerb Stones</t>
        </is>
      </c>
      <c r="C155" s="8">
        <f>SUMIFS(Jan2026!K3:K100,Jan2026!L3:L100,$A155,Jan2026!M3:M100,$B155)+SUMIFS(Feb2026!K3:K100,Feb2026!L3:L100,$A155,Feb2026!M3:M100,$B155)+SUMIFS(Mar2026!K3:K100,Mar2026!L3:L100,$A155,Mar2026!M3:M100,$B155)+SUMIFS(Apr2026!K3:K100,Apr2026!L3:L100,$A155,Apr2026!M3:M100,$B155)+SUMIFS(May2026!K3:K100,May2026!L3:L100,$A155,May2026!M3:M100,$B155)+SUMIFS(Jun2026!K3:K100,Jun2026!L3:L100,$A155,Jun2026!M3:M100,$B155)+SUMIFS(Jul2026!K3:K100,Jul2026!L3:L100,$A155,Jul2026!M3:M100,$B155)+SUMIFS(Aug2026!K3:K100,Aug2026!L3:L100,$A155,Aug2026!M3:M100,$B155)+SUMIFS(Sep2026!K3:K100,Sep2026!L3:L100,$A155,Sep2026!M3:M100,$B155)+SUMIFS(Oct2026!K3:K100,Oct2026!L3:L100,$A155,Oct2026!M3:M100,$B155)+SUMIFS(Nov2026!K3:K100,Nov2026!L3:L100,$A155,Nov2026!M3:M100,$B155)+SUMIFS(Dec2026!K3:K100,Dec2026!L3:L100,$A155,Dec2026!M3:M100,$B155)</f>
        <v/>
      </c>
    </row>
    <row r="156">
      <c r="A156" t="inlineStr">
        <is>
          <t>Materials</t>
        </is>
      </c>
      <c r="B156" t="inlineStr">
        <is>
          <t>Interlocking Paver Blocks</t>
        </is>
      </c>
      <c r="C156" s="8">
        <f>SUMIFS(Jan2026!K3:K100,Jan2026!L3:L100,$A156,Jan2026!M3:M100,$B156)+SUMIFS(Feb2026!K3:K100,Feb2026!L3:L100,$A156,Feb2026!M3:M100,$B156)+SUMIFS(Mar2026!K3:K100,Mar2026!L3:L100,$A156,Mar2026!M3:M100,$B156)+SUMIFS(Apr2026!K3:K100,Apr2026!L3:L100,$A156,Apr2026!M3:M100,$B156)+SUMIFS(May2026!K3:K100,May2026!L3:L100,$A156,May2026!M3:M100,$B156)+SUMIFS(Jun2026!K3:K100,Jun2026!L3:L100,$A156,Jun2026!M3:M100,$B156)+SUMIFS(Jul2026!K3:K100,Jul2026!L3:L100,$A156,Jul2026!M3:M100,$B156)+SUMIFS(Aug2026!K3:K100,Aug2026!L3:L100,$A156,Aug2026!M3:M100,$B156)+SUMIFS(Sep2026!K3:K100,Sep2026!L3:L100,$A156,Sep2026!M3:M100,$B156)+SUMIFS(Oct2026!K3:K100,Oct2026!L3:L100,$A156,Oct2026!M3:M100,$B156)+SUMIFS(Nov2026!K3:K100,Nov2026!L3:L100,$A156,Nov2026!M3:M100,$B156)+SUMIFS(Dec2026!K3:K100,Dec2026!L3:L100,$A156,Dec2026!M3:M100,$B156)</f>
        <v/>
      </c>
    </row>
    <row r="157">
      <c r="A157" t="inlineStr">
        <is>
          <t>Materials</t>
        </is>
      </c>
      <c r="B157" t="inlineStr">
        <is>
          <t>Kerb Blocks</t>
        </is>
      </c>
      <c r="C157" s="8">
        <f>SUMIFS(Jan2026!K3:K100,Jan2026!L3:L100,$A157,Jan2026!M3:M100,$B157)+SUMIFS(Feb2026!K3:K100,Feb2026!L3:L100,$A157,Feb2026!M3:M100,$B157)+SUMIFS(Mar2026!K3:K100,Mar2026!L3:L100,$A157,Mar2026!M3:M100,$B157)+SUMIFS(Apr2026!K3:K100,Apr2026!L3:L100,$A157,Apr2026!M3:M100,$B157)+SUMIFS(May2026!K3:K100,May2026!L3:L100,$A157,May2026!M3:M100,$B157)+SUMIFS(Jun2026!K3:K100,Jun2026!L3:L100,$A157,Jun2026!M3:M100,$B157)+SUMIFS(Jul2026!K3:K100,Jul2026!L3:L100,$A157,Jul2026!M3:M100,$B157)+SUMIFS(Aug2026!K3:K100,Aug2026!L3:L100,$A157,Aug2026!M3:M100,$B157)+SUMIFS(Sep2026!K3:K100,Sep2026!L3:L100,$A157,Sep2026!M3:M100,$B157)+SUMIFS(Oct2026!K3:K100,Oct2026!L3:L100,$A157,Oct2026!M3:M100,$B157)+SUMIFS(Nov2026!K3:K100,Nov2026!L3:L100,$A157,Nov2026!M3:M100,$B157)+SUMIFS(Dec2026!K3:K100,Dec2026!L3:L100,$A157,Dec2026!M3:M100,$B157)</f>
        <v/>
      </c>
    </row>
    <row r="158">
      <c r="A158" t="inlineStr">
        <is>
          <t>Materials</t>
        </is>
      </c>
      <c r="B158" t="inlineStr">
        <is>
          <t>PVC Pipes</t>
        </is>
      </c>
      <c r="C158" s="8">
        <f>SUMIFS(Jan2026!K3:K100,Jan2026!L3:L100,$A158,Jan2026!M3:M100,$B158)+SUMIFS(Feb2026!K3:K100,Feb2026!L3:L100,$A158,Feb2026!M3:M100,$B158)+SUMIFS(Mar2026!K3:K100,Mar2026!L3:L100,$A158,Mar2026!M3:M100,$B158)+SUMIFS(Apr2026!K3:K100,Apr2026!L3:L100,$A158,Apr2026!M3:M100,$B158)+SUMIFS(May2026!K3:K100,May2026!L3:L100,$A158,May2026!M3:M100,$B158)+SUMIFS(Jun2026!K3:K100,Jun2026!L3:L100,$A158,Jun2026!M3:M100,$B158)+SUMIFS(Jul2026!K3:K100,Jul2026!L3:L100,$A158,Jul2026!M3:M100,$B158)+SUMIFS(Aug2026!K3:K100,Aug2026!L3:L100,$A158,Aug2026!M3:M100,$B158)+SUMIFS(Sep2026!K3:K100,Sep2026!L3:L100,$A158,Sep2026!M3:M100,$B158)+SUMIFS(Oct2026!K3:K100,Oct2026!L3:L100,$A158,Oct2026!M3:M100,$B158)+SUMIFS(Nov2026!K3:K100,Nov2026!L3:L100,$A158,Nov2026!M3:M100,$B158)+SUMIFS(Dec2026!K3:K100,Dec2026!L3:L100,$A158,Dec2026!M3:M100,$B158)</f>
        <v/>
      </c>
    </row>
    <row r="159">
      <c r="A159" t="inlineStr">
        <is>
          <t>Materials</t>
        </is>
      </c>
      <c r="B159" t="inlineStr">
        <is>
          <t>CPVC Pipes</t>
        </is>
      </c>
      <c r="C159" s="8">
        <f>SUMIFS(Jan2026!K3:K100,Jan2026!L3:L100,$A159,Jan2026!M3:M100,$B159)+SUMIFS(Feb2026!K3:K100,Feb2026!L3:L100,$A159,Feb2026!M3:M100,$B159)+SUMIFS(Mar2026!K3:K100,Mar2026!L3:L100,$A159,Mar2026!M3:M100,$B159)+SUMIFS(Apr2026!K3:K100,Apr2026!L3:L100,$A159,Apr2026!M3:M100,$B159)+SUMIFS(May2026!K3:K100,May2026!L3:L100,$A159,May2026!M3:M100,$B159)+SUMIFS(Jun2026!K3:K100,Jun2026!L3:L100,$A159,Jun2026!M3:M100,$B159)+SUMIFS(Jul2026!K3:K100,Jul2026!L3:L100,$A159,Jul2026!M3:M100,$B159)+SUMIFS(Aug2026!K3:K100,Aug2026!L3:L100,$A159,Aug2026!M3:M100,$B159)+SUMIFS(Sep2026!K3:K100,Sep2026!L3:L100,$A159,Sep2026!M3:M100,$B159)+SUMIFS(Oct2026!K3:K100,Oct2026!L3:L100,$A159,Oct2026!M3:M100,$B159)+SUMIFS(Nov2026!K3:K100,Nov2026!L3:L100,$A159,Nov2026!M3:M100,$B159)+SUMIFS(Dec2026!K3:K100,Dec2026!L3:L100,$A159,Dec2026!M3:M100,$B159)</f>
        <v/>
      </c>
    </row>
    <row r="160">
      <c r="A160" t="inlineStr">
        <is>
          <t>Materials</t>
        </is>
      </c>
      <c r="B160" t="inlineStr">
        <is>
          <t>UPVC Pipes</t>
        </is>
      </c>
      <c r="C160" s="8">
        <f>SUMIFS(Jan2026!K3:K100,Jan2026!L3:L100,$A160,Jan2026!M3:M100,$B160)+SUMIFS(Feb2026!K3:K100,Feb2026!L3:L100,$A160,Feb2026!M3:M100,$B160)+SUMIFS(Mar2026!K3:K100,Mar2026!L3:L100,$A160,Mar2026!M3:M100,$B160)+SUMIFS(Apr2026!K3:K100,Apr2026!L3:L100,$A160,Apr2026!M3:M100,$B160)+SUMIFS(May2026!K3:K100,May2026!L3:L100,$A160,May2026!M3:M100,$B160)+SUMIFS(Jun2026!K3:K100,Jun2026!L3:L100,$A160,Jun2026!M3:M100,$B160)+SUMIFS(Jul2026!K3:K100,Jul2026!L3:L100,$A160,Jul2026!M3:M100,$B160)+SUMIFS(Aug2026!K3:K100,Aug2026!L3:L100,$A160,Aug2026!M3:M100,$B160)+SUMIFS(Sep2026!K3:K100,Sep2026!L3:L100,$A160,Sep2026!M3:M100,$B160)+SUMIFS(Oct2026!K3:K100,Oct2026!L3:L100,$A160,Oct2026!M3:M100,$B160)+SUMIFS(Nov2026!K3:K100,Nov2026!L3:L100,$A160,Nov2026!M3:M100,$B160)+SUMIFS(Dec2026!K3:K100,Dec2026!L3:L100,$A160,Dec2026!M3:M100,$B160)</f>
        <v/>
      </c>
    </row>
    <row r="161">
      <c r="A161" t="inlineStr">
        <is>
          <t>Materials</t>
        </is>
      </c>
      <c r="B161" t="inlineStr">
        <is>
          <t>Electrical Wires &amp; Cables</t>
        </is>
      </c>
      <c r="C161" s="8">
        <f>SUMIFS(Jan2026!K3:K100,Jan2026!L3:L100,$A161,Jan2026!M3:M100,$B161)+SUMIFS(Feb2026!K3:K100,Feb2026!L3:L100,$A161,Feb2026!M3:M100,$B161)+SUMIFS(Mar2026!K3:K100,Mar2026!L3:L100,$A161,Mar2026!M3:M100,$B161)+SUMIFS(Apr2026!K3:K100,Apr2026!L3:L100,$A161,Apr2026!M3:M100,$B161)+SUMIFS(May2026!K3:K100,May2026!L3:L100,$A161,May2026!M3:M100,$B161)+SUMIFS(Jun2026!K3:K100,Jun2026!L3:L100,$A161,Jun2026!M3:M100,$B161)+SUMIFS(Jul2026!K3:K100,Jul2026!L3:L100,$A161,Jul2026!M3:M100,$B161)+SUMIFS(Aug2026!K3:K100,Aug2026!L3:L100,$A161,Aug2026!M3:M100,$B161)+SUMIFS(Sep2026!K3:K100,Sep2026!L3:L100,$A161,Sep2026!M3:M100,$B161)+SUMIFS(Oct2026!K3:K100,Oct2026!L3:L100,$A161,Oct2026!M3:M100,$B161)+SUMIFS(Nov2026!K3:K100,Nov2026!L3:L100,$A161,Nov2026!M3:M100,$B161)+SUMIFS(Dec2026!K3:K100,Dec2026!L3:L100,$A161,Dec2026!M3:M100,$B161)</f>
        <v/>
      </c>
    </row>
    <row r="162">
      <c r="A162" t="inlineStr">
        <is>
          <t>Materials</t>
        </is>
      </c>
      <c r="B162" t="inlineStr">
        <is>
          <t>Electrical Conduits</t>
        </is>
      </c>
      <c r="C162" s="8">
        <f>SUMIFS(Jan2026!K3:K100,Jan2026!L3:L100,$A162,Jan2026!M3:M100,$B162)+SUMIFS(Feb2026!K3:K100,Feb2026!L3:L100,$A162,Feb2026!M3:M100,$B162)+SUMIFS(Mar2026!K3:K100,Mar2026!L3:L100,$A162,Mar2026!M3:M100,$B162)+SUMIFS(Apr2026!K3:K100,Apr2026!L3:L100,$A162,Apr2026!M3:M100,$B162)+SUMIFS(May2026!K3:K100,May2026!L3:L100,$A162,May2026!M3:M100,$B162)+SUMIFS(Jun2026!K3:K100,Jun2026!L3:L100,$A162,Jun2026!M3:M100,$B162)+SUMIFS(Jul2026!K3:K100,Jul2026!L3:L100,$A162,Jul2026!M3:M100,$B162)+SUMIFS(Aug2026!K3:K100,Aug2026!L3:L100,$A162,Aug2026!M3:M100,$B162)+SUMIFS(Sep2026!K3:K100,Sep2026!L3:L100,$A162,Sep2026!M3:M100,$B162)+SUMIFS(Oct2026!K3:K100,Oct2026!L3:L100,$A162,Oct2026!M3:M100,$B162)+SUMIFS(Nov2026!K3:K100,Nov2026!L3:L100,$A162,Nov2026!M3:M100,$B162)+SUMIFS(Dec2026!K3:K100,Dec2026!L3:L100,$A162,Dec2026!M3:M100,$B162)</f>
        <v/>
      </c>
    </row>
    <row r="163">
      <c r="A163" t="inlineStr">
        <is>
          <t>Materials</t>
        </is>
      </c>
      <c r="B163" t="inlineStr">
        <is>
          <t>Switches &amp; Sockets</t>
        </is>
      </c>
      <c r="C163" s="8">
        <f>SUMIFS(Jan2026!K3:K100,Jan2026!L3:L100,$A163,Jan2026!M3:M100,$B163)+SUMIFS(Feb2026!K3:K100,Feb2026!L3:L100,$A163,Feb2026!M3:M100,$B163)+SUMIFS(Mar2026!K3:K100,Mar2026!L3:L100,$A163,Mar2026!M3:M100,$B163)+SUMIFS(Apr2026!K3:K100,Apr2026!L3:L100,$A163,Apr2026!M3:M100,$B163)+SUMIFS(May2026!K3:K100,May2026!L3:L100,$A163,May2026!M3:M100,$B163)+SUMIFS(Jun2026!K3:K100,Jun2026!L3:L100,$A163,Jun2026!M3:M100,$B163)+SUMIFS(Jul2026!K3:K100,Jul2026!L3:L100,$A163,Jul2026!M3:M100,$B163)+SUMIFS(Aug2026!K3:K100,Aug2026!L3:L100,$A163,Aug2026!M3:M100,$B163)+SUMIFS(Sep2026!K3:K100,Sep2026!L3:L100,$A163,Sep2026!M3:M100,$B163)+SUMIFS(Oct2026!K3:K100,Oct2026!L3:L100,$A163,Oct2026!M3:M100,$B163)+SUMIFS(Nov2026!K3:K100,Nov2026!L3:L100,$A163,Nov2026!M3:M100,$B163)+SUMIFS(Dec2026!K3:K100,Dec2026!L3:L100,$A163,Dec2026!M3:M100,$B163)</f>
        <v/>
      </c>
    </row>
    <row r="164">
      <c r="A164" t="inlineStr">
        <is>
          <t>Materials</t>
        </is>
      </c>
      <c r="B164" t="inlineStr">
        <is>
          <t>MCBs &amp; DB Boxes</t>
        </is>
      </c>
      <c r="C164" s="8">
        <f>SUMIFS(Jan2026!K3:K100,Jan2026!L3:L100,$A164,Jan2026!M3:M100,$B164)+SUMIFS(Feb2026!K3:K100,Feb2026!L3:L100,$A164,Feb2026!M3:M100,$B164)+SUMIFS(Mar2026!K3:K100,Mar2026!L3:L100,$A164,Mar2026!M3:M100,$B164)+SUMIFS(Apr2026!K3:K100,Apr2026!L3:L100,$A164,Apr2026!M3:M100,$B164)+SUMIFS(May2026!K3:K100,May2026!L3:L100,$A164,May2026!M3:M100,$B164)+SUMIFS(Jun2026!K3:K100,Jun2026!L3:L100,$A164,Jun2026!M3:M100,$B164)+SUMIFS(Jul2026!K3:K100,Jul2026!L3:L100,$A164,Jul2026!M3:M100,$B164)+SUMIFS(Aug2026!K3:K100,Aug2026!L3:L100,$A164,Aug2026!M3:M100,$B164)+SUMIFS(Sep2026!K3:K100,Sep2026!L3:L100,$A164,Sep2026!M3:M100,$B164)+SUMIFS(Oct2026!K3:K100,Oct2026!L3:L100,$A164,Oct2026!M3:M100,$B164)+SUMIFS(Nov2026!K3:K100,Nov2026!L3:L100,$A164,Nov2026!M3:M100,$B164)+SUMIFS(Dec2026!K3:K100,Dec2026!L3:L100,$A164,Dec2026!M3:M100,$B164)</f>
        <v/>
      </c>
    </row>
    <row r="165">
      <c r="A165" t="inlineStr">
        <is>
          <t>Materials</t>
        </is>
      </c>
      <c r="B165" t="inlineStr">
        <is>
          <t>LED Lights</t>
        </is>
      </c>
      <c r="C165" s="8">
        <f>SUMIFS(Jan2026!K3:K100,Jan2026!L3:L100,$A165,Jan2026!M3:M100,$B165)+SUMIFS(Feb2026!K3:K100,Feb2026!L3:L100,$A165,Feb2026!M3:M100,$B165)+SUMIFS(Mar2026!K3:K100,Mar2026!L3:L100,$A165,Mar2026!M3:M100,$B165)+SUMIFS(Apr2026!K3:K100,Apr2026!L3:L100,$A165,Apr2026!M3:M100,$B165)+SUMIFS(May2026!K3:K100,May2026!L3:L100,$A165,May2026!M3:M100,$B165)+SUMIFS(Jun2026!K3:K100,Jun2026!L3:L100,$A165,Jun2026!M3:M100,$B165)+SUMIFS(Jul2026!K3:K100,Jul2026!L3:L100,$A165,Jul2026!M3:M100,$B165)+SUMIFS(Aug2026!K3:K100,Aug2026!L3:L100,$A165,Aug2026!M3:M100,$B165)+SUMIFS(Sep2026!K3:K100,Sep2026!L3:L100,$A165,Sep2026!M3:M100,$B165)+SUMIFS(Oct2026!K3:K100,Oct2026!L3:L100,$A165,Oct2026!M3:M100,$B165)+SUMIFS(Nov2026!K3:K100,Nov2026!L3:L100,$A165,Nov2026!M3:M100,$B165)+SUMIFS(Dec2026!K3:K100,Dec2026!L3:L100,$A165,Dec2026!M3:M100,$B165)</f>
        <v/>
      </c>
    </row>
    <row r="166">
      <c r="A166" t="inlineStr">
        <is>
          <t>Materials</t>
        </is>
      </c>
      <c r="B166" t="inlineStr">
        <is>
          <t>Fans</t>
        </is>
      </c>
      <c r="C166" s="8">
        <f>SUMIFS(Jan2026!K3:K100,Jan2026!L3:L100,$A166,Jan2026!M3:M100,$B166)+SUMIFS(Feb2026!K3:K100,Feb2026!L3:L100,$A166,Feb2026!M3:M100,$B166)+SUMIFS(Mar2026!K3:K100,Mar2026!L3:L100,$A166,Mar2026!M3:M100,$B166)+SUMIFS(Apr2026!K3:K100,Apr2026!L3:L100,$A166,Apr2026!M3:M100,$B166)+SUMIFS(May2026!K3:K100,May2026!L3:L100,$A166,May2026!M3:M100,$B166)+SUMIFS(Jun2026!K3:K100,Jun2026!L3:L100,$A166,Jun2026!M3:M100,$B166)+SUMIFS(Jul2026!K3:K100,Jul2026!L3:L100,$A166,Jul2026!M3:M100,$B166)+SUMIFS(Aug2026!K3:K100,Aug2026!L3:L100,$A166,Aug2026!M3:M100,$B166)+SUMIFS(Sep2026!K3:K100,Sep2026!L3:L100,$A166,Sep2026!M3:M100,$B166)+SUMIFS(Oct2026!K3:K100,Oct2026!L3:L100,$A166,Oct2026!M3:M100,$B166)+SUMIFS(Nov2026!K3:K100,Nov2026!L3:L100,$A166,Nov2026!M3:M100,$B166)+SUMIFS(Dec2026!K3:K100,Dec2026!L3:L100,$A166,Dec2026!M3:M100,$B166)</f>
        <v/>
      </c>
    </row>
    <row r="167">
      <c r="A167" t="inlineStr">
        <is>
          <t>Materials</t>
        </is>
      </c>
      <c r="B167" t="inlineStr">
        <is>
          <t>Plumbing Fixtures</t>
        </is>
      </c>
      <c r="C167" s="8">
        <f>SUMIFS(Jan2026!K3:K100,Jan2026!L3:L100,$A167,Jan2026!M3:M100,$B167)+SUMIFS(Feb2026!K3:K100,Feb2026!L3:L100,$A167,Feb2026!M3:M100,$B167)+SUMIFS(Mar2026!K3:K100,Mar2026!L3:L100,$A167,Mar2026!M3:M100,$B167)+SUMIFS(Apr2026!K3:K100,Apr2026!L3:L100,$A167,Apr2026!M3:M100,$B167)+SUMIFS(May2026!K3:K100,May2026!L3:L100,$A167,May2026!M3:M100,$B167)+SUMIFS(Jun2026!K3:K100,Jun2026!L3:L100,$A167,Jun2026!M3:M100,$B167)+SUMIFS(Jul2026!K3:K100,Jul2026!L3:L100,$A167,Jul2026!M3:M100,$B167)+SUMIFS(Aug2026!K3:K100,Aug2026!L3:L100,$A167,Aug2026!M3:M100,$B167)+SUMIFS(Sep2026!K3:K100,Sep2026!L3:L100,$A167,Sep2026!M3:M100,$B167)+SUMIFS(Oct2026!K3:K100,Oct2026!L3:L100,$A167,Oct2026!M3:M100,$B167)+SUMIFS(Nov2026!K3:K100,Nov2026!L3:L100,$A167,Nov2026!M3:M100,$B167)+SUMIFS(Dec2026!K3:K100,Dec2026!L3:L100,$A167,Dec2026!M3:M100,$B167)</f>
        <v/>
      </c>
    </row>
    <row r="168">
      <c r="A168" t="inlineStr">
        <is>
          <t>Materials</t>
        </is>
      </c>
      <c r="B168" t="inlineStr">
        <is>
          <t>Bathroom Fittings</t>
        </is>
      </c>
      <c r="C168" s="8">
        <f>SUMIFS(Jan2026!K3:K100,Jan2026!L3:L100,$A168,Jan2026!M3:M100,$B168)+SUMIFS(Feb2026!K3:K100,Feb2026!L3:L100,$A168,Feb2026!M3:M100,$B168)+SUMIFS(Mar2026!K3:K100,Mar2026!L3:L100,$A168,Mar2026!M3:M100,$B168)+SUMIFS(Apr2026!K3:K100,Apr2026!L3:L100,$A168,Apr2026!M3:M100,$B168)+SUMIFS(May2026!K3:K100,May2026!L3:L100,$A168,May2026!M3:M100,$B168)+SUMIFS(Jun2026!K3:K100,Jun2026!L3:L100,$A168,Jun2026!M3:M100,$B168)+SUMIFS(Jul2026!K3:K100,Jul2026!L3:L100,$A168,Jul2026!M3:M100,$B168)+SUMIFS(Aug2026!K3:K100,Aug2026!L3:L100,$A168,Aug2026!M3:M100,$B168)+SUMIFS(Sep2026!K3:K100,Sep2026!L3:L100,$A168,Sep2026!M3:M100,$B168)+SUMIFS(Oct2026!K3:K100,Oct2026!L3:L100,$A168,Oct2026!M3:M100,$B168)+SUMIFS(Nov2026!K3:K100,Nov2026!L3:L100,$A168,Nov2026!M3:M100,$B168)+SUMIFS(Dec2026!K3:K100,Dec2026!L3:L100,$A168,Dec2026!M3:M100,$B168)</f>
        <v/>
      </c>
    </row>
    <row r="169">
      <c r="A169" t="inlineStr">
        <is>
          <t>Materials</t>
        </is>
      </c>
      <c r="B169" t="inlineStr">
        <is>
          <t>Water Tanks</t>
        </is>
      </c>
      <c r="C169" s="8">
        <f>SUMIFS(Jan2026!K3:K100,Jan2026!L3:L100,$A169,Jan2026!M3:M100,$B169)+SUMIFS(Feb2026!K3:K100,Feb2026!L3:L100,$A169,Feb2026!M3:M100,$B169)+SUMIFS(Mar2026!K3:K100,Mar2026!L3:L100,$A169,Mar2026!M3:M100,$B169)+SUMIFS(Apr2026!K3:K100,Apr2026!L3:L100,$A169,Apr2026!M3:M100,$B169)+SUMIFS(May2026!K3:K100,May2026!L3:L100,$A169,May2026!M3:M100,$B169)+SUMIFS(Jun2026!K3:K100,Jun2026!L3:L100,$A169,Jun2026!M3:M100,$B169)+SUMIFS(Jul2026!K3:K100,Jul2026!L3:L100,$A169,Jul2026!M3:M100,$B169)+SUMIFS(Aug2026!K3:K100,Aug2026!L3:L100,$A169,Aug2026!M3:M100,$B169)+SUMIFS(Sep2026!K3:K100,Sep2026!L3:L100,$A169,Sep2026!M3:M100,$B169)+SUMIFS(Oct2026!K3:K100,Oct2026!L3:L100,$A169,Oct2026!M3:M100,$B169)+SUMIFS(Nov2026!K3:K100,Nov2026!L3:L100,$A169,Nov2026!M3:M100,$B169)+SUMIFS(Dec2026!K3:K100,Dec2026!L3:L100,$A169,Dec2026!M3:M100,$B169)</f>
        <v/>
      </c>
    </row>
    <row r="170">
      <c r="A170" t="inlineStr">
        <is>
          <t>Materials</t>
        </is>
      </c>
      <c r="B170" t="inlineStr">
        <is>
          <t>Septic Tank Materials</t>
        </is>
      </c>
      <c r="C170" s="8">
        <f>SUMIFS(Jan2026!K3:K100,Jan2026!L3:L100,$A170,Jan2026!M3:M100,$B170)+SUMIFS(Feb2026!K3:K100,Feb2026!L3:L100,$A170,Feb2026!M3:M100,$B170)+SUMIFS(Mar2026!K3:K100,Mar2026!L3:L100,$A170,Mar2026!M3:M100,$B170)+SUMIFS(Apr2026!K3:K100,Apr2026!L3:L100,$A170,Apr2026!M3:M100,$B170)+SUMIFS(May2026!K3:K100,May2026!L3:L100,$A170,May2026!M3:M100,$B170)+SUMIFS(Jun2026!K3:K100,Jun2026!L3:L100,$A170,Jun2026!M3:M100,$B170)+SUMIFS(Jul2026!K3:K100,Jul2026!L3:L100,$A170,Jul2026!M3:M100,$B170)+SUMIFS(Aug2026!K3:K100,Aug2026!L3:L100,$A170,Aug2026!M3:M100,$B170)+SUMIFS(Sep2026!K3:K100,Sep2026!L3:L100,$A170,Sep2026!M3:M100,$B170)+SUMIFS(Oct2026!K3:K100,Oct2026!L3:L100,$A170,Oct2026!M3:M100,$B170)+SUMIFS(Nov2026!K3:K100,Nov2026!L3:L100,$A170,Nov2026!M3:M100,$B170)+SUMIFS(Dec2026!K3:K100,Dec2026!L3:L100,$A170,Dec2026!M3:M100,$B170)</f>
        <v/>
      </c>
    </row>
    <row r="171">
      <c r="A171" t="inlineStr">
        <is>
          <t>Materials</t>
        </is>
      </c>
      <c r="B171" t="inlineStr">
        <is>
          <t>Borewell Pipes</t>
        </is>
      </c>
      <c r="C171" s="8">
        <f>SUMIFS(Jan2026!K3:K100,Jan2026!L3:L100,$A171,Jan2026!M3:M100,$B171)+SUMIFS(Feb2026!K3:K100,Feb2026!L3:L100,$A171,Feb2026!M3:M100,$B171)+SUMIFS(Mar2026!K3:K100,Mar2026!L3:L100,$A171,Mar2026!M3:M100,$B171)+SUMIFS(Apr2026!K3:K100,Apr2026!L3:L100,$A171,Apr2026!M3:M100,$B171)+SUMIFS(May2026!K3:K100,May2026!L3:L100,$A171,May2026!M3:M100,$B171)+SUMIFS(Jun2026!K3:K100,Jun2026!L3:L100,$A171,Jun2026!M3:M100,$B171)+SUMIFS(Jul2026!K3:K100,Jul2026!L3:L100,$A171,Jul2026!M3:M100,$B171)+SUMIFS(Aug2026!K3:K100,Aug2026!L3:L100,$A171,Aug2026!M3:M100,$B171)+SUMIFS(Sep2026!K3:K100,Sep2026!L3:L100,$A171,Sep2026!M3:M100,$B171)+SUMIFS(Oct2026!K3:K100,Oct2026!L3:L100,$A171,Oct2026!M3:M100,$B171)+SUMIFS(Nov2026!K3:K100,Nov2026!L3:L100,$A171,Nov2026!M3:M100,$B171)+SUMIFS(Dec2026!K3:K100,Dec2026!L3:L100,$A171,Dec2026!M3:M100,$B171)</f>
        <v/>
      </c>
    </row>
    <row r="172">
      <c r="A172" t="inlineStr">
        <is>
          <t>Materials</t>
        </is>
      </c>
      <c r="B172" t="inlineStr">
        <is>
          <t>Manhole Covers</t>
        </is>
      </c>
      <c r="C172" s="8">
        <f>SUMIFS(Jan2026!K3:K100,Jan2026!L3:L100,$A172,Jan2026!M3:M100,$B172)+SUMIFS(Feb2026!K3:K100,Feb2026!L3:L100,$A172,Feb2026!M3:M100,$B172)+SUMIFS(Mar2026!K3:K100,Mar2026!L3:L100,$A172,Mar2026!M3:M100,$B172)+SUMIFS(Apr2026!K3:K100,Apr2026!L3:L100,$A172,Apr2026!M3:M100,$B172)+SUMIFS(May2026!K3:K100,May2026!L3:L100,$A172,May2026!M3:M100,$B172)+SUMIFS(Jun2026!K3:K100,Jun2026!L3:L100,$A172,Jun2026!M3:M100,$B172)+SUMIFS(Jul2026!K3:K100,Jul2026!L3:L100,$A172,Jul2026!M3:M100,$B172)+SUMIFS(Aug2026!K3:K100,Aug2026!L3:L100,$A172,Aug2026!M3:M100,$B172)+SUMIFS(Sep2026!K3:K100,Sep2026!L3:L100,$A172,Sep2026!M3:M100,$B172)+SUMIFS(Oct2026!K3:K100,Oct2026!L3:L100,$A172,Oct2026!M3:M100,$B172)+SUMIFS(Nov2026!K3:K100,Nov2026!L3:L100,$A172,Nov2026!M3:M100,$B172)+SUMIFS(Dec2026!K3:K100,Dec2026!L3:L100,$A172,Dec2026!M3:M100,$B172)</f>
        <v/>
      </c>
    </row>
    <row r="173">
      <c r="A173" t="inlineStr">
        <is>
          <t>Materials</t>
        </is>
      </c>
      <c r="B173" t="inlineStr">
        <is>
          <t>Expansion Joints</t>
        </is>
      </c>
      <c r="C173" s="8">
        <f>SUMIFS(Jan2026!K3:K100,Jan2026!L3:L100,$A173,Jan2026!M3:M100,$B173)+SUMIFS(Feb2026!K3:K100,Feb2026!L3:L100,$A173,Feb2026!M3:M100,$B173)+SUMIFS(Mar2026!K3:K100,Mar2026!L3:L100,$A173,Mar2026!M3:M100,$B173)+SUMIFS(Apr2026!K3:K100,Apr2026!L3:L100,$A173,Apr2026!M3:M100,$B173)+SUMIFS(May2026!K3:K100,May2026!L3:L100,$A173,May2026!M3:M100,$B173)+SUMIFS(Jun2026!K3:K100,Jun2026!L3:L100,$A173,Jun2026!M3:M100,$B173)+SUMIFS(Jul2026!K3:K100,Jul2026!L3:L100,$A173,Jul2026!M3:M100,$B173)+SUMIFS(Aug2026!K3:K100,Aug2026!L3:L100,$A173,Aug2026!M3:M100,$B173)+SUMIFS(Sep2026!K3:K100,Sep2026!L3:L100,$A173,Sep2026!M3:M100,$B173)+SUMIFS(Oct2026!K3:K100,Oct2026!L3:L100,$A173,Oct2026!M3:M100,$B173)+SUMIFS(Nov2026!K3:K100,Nov2026!L3:L100,$A173,Nov2026!M3:M100,$B173)+SUMIFS(Dec2026!K3:K100,Dec2026!L3:L100,$A173,Dec2026!M3:M100,$B173)</f>
        <v/>
      </c>
    </row>
    <row r="174">
      <c r="A174" t="inlineStr">
        <is>
          <t>Materials</t>
        </is>
      </c>
      <c r="B174" t="inlineStr">
        <is>
          <t>Construction Chemicals</t>
        </is>
      </c>
      <c r="C174" s="8">
        <f>SUMIFS(Jan2026!K3:K100,Jan2026!L3:L100,$A174,Jan2026!M3:M100,$B174)+SUMIFS(Feb2026!K3:K100,Feb2026!L3:L100,$A174,Feb2026!M3:M100,$B174)+SUMIFS(Mar2026!K3:K100,Mar2026!L3:L100,$A174,Mar2026!M3:M100,$B174)+SUMIFS(Apr2026!K3:K100,Apr2026!L3:L100,$A174,Apr2026!M3:M100,$B174)+SUMIFS(May2026!K3:K100,May2026!L3:L100,$A174,May2026!M3:M100,$B174)+SUMIFS(Jun2026!K3:K100,Jun2026!L3:L100,$A174,Jun2026!M3:M100,$B174)+SUMIFS(Jul2026!K3:K100,Jul2026!L3:L100,$A174,Jul2026!M3:M100,$B174)+SUMIFS(Aug2026!K3:K100,Aug2026!L3:L100,$A174,Aug2026!M3:M100,$B174)+SUMIFS(Sep2026!K3:K100,Sep2026!L3:L100,$A174,Sep2026!M3:M100,$B174)+SUMIFS(Oct2026!K3:K100,Oct2026!L3:L100,$A174,Oct2026!M3:M100,$B174)+SUMIFS(Nov2026!K3:K100,Nov2026!L3:L100,$A174,Nov2026!M3:M100,$B174)+SUMIFS(Dec2026!K3:K100,Dec2026!L3:L100,$A174,Dec2026!M3:M100,$B174)</f>
        <v/>
      </c>
    </row>
    <row r="175">
      <c r="A175" t="inlineStr">
        <is>
          <t>Materials</t>
        </is>
      </c>
      <c r="B175" t="inlineStr">
        <is>
          <t>Silicone Sealant</t>
        </is>
      </c>
      <c r="C175" s="8">
        <f>SUMIFS(Jan2026!K3:K100,Jan2026!L3:L100,$A175,Jan2026!M3:M100,$B175)+SUMIFS(Feb2026!K3:K100,Feb2026!L3:L100,$A175,Feb2026!M3:M100,$B175)+SUMIFS(Mar2026!K3:K100,Mar2026!L3:L100,$A175,Mar2026!M3:M100,$B175)+SUMIFS(Apr2026!K3:K100,Apr2026!L3:L100,$A175,Apr2026!M3:M100,$B175)+SUMIFS(May2026!K3:K100,May2026!L3:L100,$A175,May2026!M3:M100,$B175)+SUMIFS(Jun2026!K3:K100,Jun2026!L3:L100,$A175,Jun2026!M3:M100,$B175)+SUMIFS(Jul2026!K3:K100,Jul2026!L3:L100,$A175,Jul2026!M3:M100,$B175)+SUMIFS(Aug2026!K3:K100,Aug2026!L3:L100,$A175,Aug2026!M3:M100,$B175)+SUMIFS(Sep2026!K3:K100,Sep2026!L3:L100,$A175,Sep2026!M3:M100,$B175)+SUMIFS(Oct2026!K3:K100,Oct2026!L3:L100,$A175,Oct2026!M3:M100,$B175)+SUMIFS(Nov2026!K3:K100,Nov2026!L3:L100,$A175,Nov2026!M3:M100,$B175)+SUMIFS(Dec2026!K3:K100,Dec2026!L3:L100,$A175,Dec2026!M3:M100,$B175)</f>
        <v/>
      </c>
    </row>
    <row r="176">
      <c r="A176" t="inlineStr">
        <is>
          <t>Materials</t>
        </is>
      </c>
      <c r="B176" t="inlineStr">
        <is>
          <t>Epoxy</t>
        </is>
      </c>
      <c r="C176" s="8">
        <f>SUMIFS(Jan2026!K3:K100,Jan2026!L3:L100,$A176,Jan2026!M3:M100,$B176)+SUMIFS(Feb2026!K3:K100,Feb2026!L3:L100,$A176,Feb2026!M3:M100,$B176)+SUMIFS(Mar2026!K3:K100,Mar2026!L3:L100,$A176,Mar2026!M3:M100,$B176)+SUMIFS(Apr2026!K3:K100,Apr2026!L3:L100,$A176,Apr2026!M3:M100,$B176)+SUMIFS(May2026!K3:K100,May2026!L3:L100,$A176,May2026!M3:M100,$B176)+SUMIFS(Jun2026!K3:K100,Jun2026!L3:L100,$A176,Jun2026!M3:M100,$B176)+SUMIFS(Jul2026!K3:K100,Jul2026!L3:L100,$A176,Jul2026!M3:M100,$B176)+SUMIFS(Aug2026!K3:K100,Aug2026!L3:L100,$A176,Aug2026!M3:M100,$B176)+SUMIFS(Sep2026!K3:K100,Sep2026!L3:L100,$A176,Sep2026!M3:M100,$B176)+SUMIFS(Oct2026!K3:K100,Oct2026!L3:L100,$A176,Oct2026!M3:M100,$B176)+SUMIFS(Nov2026!K3:K100,Nov2026!L3:L100,$A176,Nov2026!M3:M100,$B176)+SUMIFS(Dec2026!K3:K100,Dec2026!L3:L100,$A176,Dec2026!M3:M100,$B176)</f>
        <v/>
      </c>
    </row>
    <row r="177">
      <c r="A177" t="inlineStr">
        <is>
          <t>Materials</t>
        </is>
      </c>
      <c r="B177" t="inlineStr">
        <is>
          <t>Nails</t>
        </is>
      </c>
      <c r="C177" s="8">
        <f>SUMIFS(Jan2026!K3:K100,Jan2026!L3:L100,$A177,Jan2026!M3:M100,$B177)+SUMIFS(Feb2026!K3:K100,Feb2026!L3:L100,$A177,Feb2026!M3:M100,$B177)+SUMIFS(Mar2026!K3:K100,Mar2026!L3:L100,$A177,Mar2026!M3:M100,$B177)+SUMIFS(Apr2026!K3:K100,Apr2026!L3:L100,$A177,Apr2026!M3:M100,$B177)+SUMIFS(May2026!K3:K100,May2026!L3:L100,$A177,May2026!M3:M100,$B177)+SUMIFS(Jun2026!K3:K100,Jun2026!L3:L100,$A177,Jun2026!M3:M100,$B177)+SUMIFS(Jul2026!K3:K100,Jul2026!L3:L100,$A177,Jul2026!M3:M100,$B177)+SUMIFS(Aug2026!K3:K100,Aug2026!L3:L100,$A177,Aug2026!M3:M100,$B177)+SUMIFS(Sep2026!K3:K100,Sep2026!L3:L100,$A177,Sep2026!M3:M100,$B177)+SUMIFS(Oct2026!K3:K100,Oct2026!L3:L100,$A177,Oct2026!M3:M100,$B177)+SUMIFS(Nov2026!K3:K100,Nov2026!L3:L100,$A177,Nov2026!M3:M100,$B177)+SUMIFS(Dec2026!K3:K100,Dec2026!L3:L100,$A177,Dec2026!M3:M100,$B177)</f>
        <v/>
      </c>
    </row>
    <row r="178">
      <c r="A178" t="inlineStr">
        <is>
          <t>Materials</t>
        </is>
      </c>
      <c r="B178" t="inlineStr">
        <is>
          <t>Screws</t>
        </is>
      </c>
      <c r="C178" s="8">
        <f>SUMIFS(Jan2026!K3:K100,Jan2026!L3:L100,$A178,Jan2026!M3:M100,$B178)+SUMIFS(Feb2026!K3:K100,Feb2026!L3:L100,$A178,Feb2026!M3:M100,$B178)+SUMIFS(Mar2026!K3:K100,Mar2026!L3:L100,$A178,Mar2026!M3:M100,$B178)+SUMIFS(Apr2026!K3:K100,Apr2026!L3:L100,$A178,Apr2026!M3:M100,$B178)+SUMIFS(May2026!K3:K100,May2026!L3:L100,$A178,May2026!M3:M100,$B178)+SUMIFS(Jun2026!K3:K100,Jun2026!L3:L100,$A178,Jun2026!M3:M100,$B178)+SUMIFS(Jul2026!K3:K100,Jul2026!L3:L100,$A178,Jul2026!M3:M100,$B178)+SUMIFS(Aug2026!K3:K100,Aug2026!L3:L100,$A178,Aug2026!M3:M100,$B178)+SUMIFS(Sep2026!K3:K100,Sep2026!L3:L100,$A178,Sep2026!M3:M100,$B178)+SUMIFS(Oct2026!K3:K100,Oct2026!L3:L100,$A178,Oct2026!M3:M100,$B178)+SUMIFS(Nov2026!K3:K100,Nov2026!L3:L100,$A178,Nov2026!M3:M100,$B178)+SUMIFS(Dec2026!K3:K100,Dec2026!L3:L100,$A178,Dec2026!M3:M100,$B178)</f>
        <v/>
      </c>
    </row>
    <row r="179">
      <c r="A179" t="inlineStr">
        <is>
          <t>Materials</t>
        </is>
      </c>
      <c r="B179" t="inlineStr">
        <is>
          <t>Anchors &amp; Fasteners</t>
        </is>
      </c>
      <c r="C179" s="8">
        <f>SUMIFS(Jan2026!K3:K100,Jan2026!L3:L100,$A179,Jan2026!M3:M100,$B179)+SUMIFS(Feb2026!K3:K100,Feb2026!L3:L100,$A179,Feb2026!M3:M100,$B179)+SUMIFS(Mar2026!K3:K100,Mar2026!L3:L100,$A179,Mar2026!M3:M100,$B179)+SUMIFS(Apr2026!K3:K100,Apr2026!L3:L100,$A179,Apr2026!M3:M100,$B179)+SUMIFS(May2026!K3:K100,May2026!L3:L100,$A179,May2026!M3:M100,$B179)+SUMIFS(Jun2026!K3:K100,Jun2026!L3:L100,$A179,Jun2026!M3:M100,$B179)+SUMIFS(Jul2026!K3:K100,Jul2026!L3:L100,$A179,Jul2026!M3:M100,$B179)+SUMIFS(Aug2026!K3:K100,Aug2026!L3:L100,$A179,Aug2026!M3:M100,$B179)+SUMIFS(Sep2026!K3:K100,Sep2026!L3:L100,$A179,Sep2026!M3:M100,$B179)+SUMIFS(Oct2026!K3:K100,Oct2026!L3:L100,$A179,Oct2026!M3:M100,$B179)+SUMIFS(Nov2026!K3:K100,Nov2026!L3:L100,$A179,Nov2026!M3:M100,$B179)+SUMIFS(Dec2026!K3:K100,Dec2026!L3:L100,$A179,Dec2026!M3:M100,$B179)</f>
        <v/>
      </c>
    </row>
    <row r="180">
      <c r="A180" t="inlineStr">
        <is>
          <t>Materials</t>
        </is>
      </c>
      <c r="B180" t="inlineStr">
        <is>
          <t>Welding Electrodes</t>
        </is>
      </c>
      <c r="C180" s="8">
        <f>SUMIFS(Jan2026!K3:K100,Jan2026!L3:L100,$A180,Jan2026!M3:M100,$B180)+SUMIFS(Feb2026!K3:K100,Feb2026!L3:L100,$A180,Feb2026!M3:M100,$B180)+SUMIFS(Mar2026!K3:K100,Mar2026!L3:L100,$A180,Mar2026!M3:M100,$B180)+SUMIFS(Apr2026!K3:K100,Apr2026!L3:L100,$A180,Apr2026!M3:M100,$B180)+SUMIFS(May2026!K3:K100,May2026!L3:L100,$A180,May2026!M3:M100,$B180)+SUMIFS(Jun2026!K3:K100,Jun2026!L3:L100,$A180,Jun2026!M3:M100,$B180)+SUMIFS(Jul2026!K3:K100,Jul2026!L3:L100,$A180,Jul2026!M3:M100,$B180)+SUMIFS(Aug2026!K3:K100,Aug2026!L3:L100,$A180,Aug2026!M3:M100,$B180)+SUMIFS(Sep2026!K3:K100,Sep2026!L3:L100,$A180,Sep2026!M3:M100,$B180)+SUMIFS(Oct2026!K3:K100,Oct2026!L3:L100,$A180,Oct2026!M3:M100,$B180)+SUMIFS(Nov2026!K3:K100,Nov2026!L3:L100,$A180,Nov2026!M3:M100,$B180)+SUMIFS(Dec2026!K3:K100,Dec2026!L3:L100,$A180,Dec2026!M3:M100,$B180)</f>
        <v/>
      </c>
    </row>
    <row r="181">
      <c r="A181" t="inlineStr">
        <is>
          <t>Materials</t>
        </is>
      </c>
      <c r="B181" t="inlineStr">
        <is>
          <t>Safety Nets</t>
        </is>
      </c>
      <c r="C181" s="8">
        <f>SUMIFS(Jan2026!K3:K100,Jan2026!L3:L100,$A181,Jan2026!M3:M100,$B181)+SUMIFS(Feb2026!K3:K100,Feb2026!L3:L100,$A181,Feb2026!M3:M100,$B181)+SUMIFS(Mar2026!K3:K100,Mar2026!L3:L100,$A181,Mar2026!M3:M100,$B181)+SUMIFS(Apr2026!K3:K100,Apr2026!L3:L100,$A181,Apr2026!M3:M100,$B181)+SUMIFS(May2026!K3:K100,May2026!L3:L100,$A181,May2026!M3:M100,$B181)+SUMIFS(Jun2026!K3:K100,Jun2026!L3:L100,$A181,Jun2026!M3:M100,$B181)+SUMIFS(Jul2026!K3:K100,Jul2026!L3:L100,$A181,Jul2026!M3:M100,$B181)+SUMIFS(Aug2026!K3:K100,Aug2026!L3:L100,$A181,Aug2026!M3:M100,$B181)+SUMIFS(Sep2026!K3:K100,Sep2026!L3:L100,$A181,Sep2026!M3:M100,$B181)+SUMIFS(Oct2026!K3:K100,Oct2026!L3:L100,$A181,Oct2026!M3:M100,$B181)+SUMIFS(Nov2026!K3:K100,Nov2026!L3:L100,$A181,Nov2026!M3:M100,$B181)+SUMIFS(Dec2026!K3:K100,Dec2026!L3:L100,$A181,Dec2026!M3:M100,$B181)</f>
        <v/>
      </c>
    </row>
    <row r="182">
      <c r="A182" t="inlineStr">
        <is>
          <t>Materials</t>
        </is>
      </c>
      <c r="B182" t="inlineStr">
        <is>
          <t>Tarpaulin Sheets</t>
        </is>
      </c>
      <c r="C182" s="8">
        <f>SUMIFS(Jan2026!K3:K100,Jan2026!L3:L100,$A182,Jan2026!M3:M100,$B182)+SUMIFS(Feb2026!K3:K100,Feb2026!L3:L100,$A182,Feb2026!M3:M100,$B182)+SUMIFS(Mar2026!K3:K100,Mar2026!L3:L100,$A182,Mar2026!M3:M100,$B182)+SUMIFS(Apr2026!K3:K100,Apr2026!L3:L100,$A182,Apr2026!M3:M100,$B182)+SUMIFS(May2026!K3:K100,May2026!L3:L100,$A182,May2026!M3:M100,$B182)+SUMIFS(Jun2026!K3:K100,Jun2026!L3:L100,$A182,Jun2026!M3:M100,$B182)+SUMIFS(Jul2026!K3:K100,Jul2026!L3:L100,$A182,Jul2026!M3:M100,$B182)+SUMIFS(Aug2026!K3:K100,Aug2026!L3:L100,$A182,Aug2026!M3:M100,$B182)+SUMIFS(Sep2026!K3:K100,Sep2026!L3:L100,$A182,Sep2026!M3:M100,$B182)+SUMIFS(Oct2026!K3:K100,Oct2026!L3:L100,$A182,Oct2026!M3:M100,$B182)+SUMIFS(Nov2026!K3:K100,Nov2026!L3:L100,$A182,Nov2026!M3:M100,$B182)+SUMIFS(Dec2026!K3:K100,Dec2026!L3:L100,$A182,Dec2026!M3:M100,$B182)</f>
        <v/>
      </c>
    </row>
    <row r="183">
      <c r="A183" t="inlineStr">
        <is>
          <t>Operations</t>
        </is>
      </c>
      <c r="B183" t="inlineStr">
        <is>
          <t>Security</t>
        </is>
      </c>
      <c r="C183" s="8">
        <f>SUMIFS(Jan2026!K3:K100,Jan2026!L3:L100,$A183,Jan2026!M3:M100,$B183)+SUMIFS(Feb2026!K3:K100,Feb2026!L3:L100,$A183,Feb2026!M3:M100,$B183)+SUMIFS(Mar2026!K3:K100,Mar2026!L3:L100,$A183,Mar2026!M3:M100,$B183)+SUMIFS(Apr2026!K3:K100,Apr2026!L3:L100,$A183,Apr2026!M3:M100,$B183)+SUMIFS(May2026!K3:K100,May2026!L3:L100,$A183,May2026!M3:M100,$B183)+SUMIFS(Jun2026!K3:K100,Jun2026!L3:L100,$A183,Jun2026!M3:M100,$B183)+SUMIFS(Jul2026!K3:K100,Jul2026!L3:L100,$A183,Jul2026!M3:M100,$B183)+SUMIFS(Aug2026!K3:K100,Aug2026!L3:L100,$A183,Aug2026!M3:M100,$B183)+SUMIFS(Sep2026!K3:K100,Sep2026!L3:L100,$A183,Sep2026!M3:M100,$B183)+SUMIFS(Oct2026!K3:K100,Oct2026!L3:L100,$A183,Oct2026!M3:M100,$B183)+SUMIFS(Nov2026!K3:K100,Nov2026!L3:L100,$A183,Nov2026!M3:M100,$B183)+SUMIFS(Dec2026!K3:K100,Dec2026!L3:L100,$A183,Dec2026!M3:M100,$B183)</f>
        <v/>
      </c>
    </row>
    <row r="184">
      <c r="A184" t="inlineStr">
        <is>
          <t>Operations</t>
        </is>
      </c>
      <c r="B184" t="inlineStr">
        <is>
          <t>Housekeeping</t>
        </is>
      </c>
      <c r="C184" s="8">
        <f>SUMIFS(Jan2026!K3:K100,Jan2026!L3:L100,$A184,Jan2026!M3:M100,$B184)+SUMIFS(Feb2026!K3:K100,Feb2026!L3:L100,$A184,Feb2026!M3:M100,$B184)+SUMIFS(Mar2026!K3:K100,Mar2026!L3:L100,$A184,Mar2026!M3:M100,$B184)+SUMIFS(Apr2026!K3:K100,Apr2026!L3:L100,$A184,Apr2026!M3:M100,$B184)+SUMIFS(May2026!K3:K100,May2026!L3:L100,$A184,May2026!M3:M100,$B184)+SUMIFS(Jun2026!K3:K100,Jun2026!L3:L100,$A184,Jun2026!M3:M100,$B184)+SUMIFS(Jul2026!K3:K100,Jul2026!L3:L100,$A184,Jul2026!M3:M100,$B184)+SUMIFS(Aug2026!K3:K100,Aug2026!L3:L100,$A184,Aug2026!M3:M100,$B184)+SUMIFS(Sep2026!K3:K100,Sep2026!L3:L100,$A184,Sep2026!M3:M100,$B184)+SUMIFS(Oct2026!K3:K100,Oct2026!L3:L100,$A184,Oct2026!M3:M100,$B184)+SUMIFS(Nov2026!K3:K100,Nov2026!L3:L100,$A184,Nov2026!M3:M100,$B184)+SUMIFS(Dec2026!K3:K100,Dec2026!L3:L100,$A184,Dec2026!M3:M100,$B184)</f>
        <v/>
      </c>
    </row>
    <row r="185">
      <c r="A185" t="inlineStr">
        <is>
          <t>Operations</t>
        </is>
      </c>
      <c r="B185" t="inlineStr">
        <is>
          <t>Fuel &amp; Diesel</t>
        </is>
      </c>
      <c r="C185" s="8">
        <f>SUMIFS(Jan2026!K3:K100,Jan2026!L3:L100,$A185,Jan2026!M3:M100,$B185)+SUMIFS(Feb2026!K3:K100,Feb2026!L3:L100,$A185,Feb2026!M3:M100,$B185)+SUMIFS(Mar2026!K3:K100,Mar2026!L3:L100,$A185,Mar2026!M3:M100,$B185)+SUMIFS(Apr2026!K3:K100,Apr2026!L3:L100,$A185,Apr2026!M3:M100,$B185)+SUMIFS(May2026!K3:K100,May2026!L3:L100,$A185,May2026!M3:M100,$B185)+SUMIFS(Jun2026!K3:K100,Jun2026!L3:L100,$A185,Jun2026!M3:M100,$B185)+SUMIFS(Jul2026!K3:K100,Jul2026!L3:L100,$A185,Jul2026!M3:M100,$B185)+SUMIFS(Aug2026!K3:K100,Aug2026!L3:L100,$A185,Aug2026!M3:M100,$B185)+SUMIFS(Sep2026!K3:K100,Sep2026!L3:L100,$A185,Sep2026!M3:M100,$B185)+SUMIFS(Oct2026!K3:K100,Oct2026!L3:L100,$A185,Oct2026!M3:M100,$B185)+SUMIFS(Nov2026!K3:K100,Nov2026!L3:L100,$A185,Nov2026!M3:M100,$B185)+SUMIFS(Dec2026!K3:K100,Dec2026!L3:L100,$A185,Dec2026!M3:M100,$B185)</f>
        <v/>
      </c>
    </row>
    <row r="186">
      <c r="A186" t="inlineStr">
        <is>
          <t>Operations</t>
        </is>
      </c>
      <c r="B186" t="inlineStr">
        <is>
          <t>Vehicle Expenses</t>
        </is>
      </c>
      <c r="C186" s="8">
        <f>SUMIFS(Jan2026!K3:K100,Jan2026!L3:L100,$A186,Jan2026!M3:M100,$B186)+SUMIFS(Feb2026!K3:K100,Feb2026!L3:L100,$A186,Feb2026!M3:M100,$B186)+SUMIFS(Mar2026!K3:K100,Mar2026!L3:L100,$A186,Mar2026!M3:M100,$B186)+SUMIFS(Apr2026!K3:K100,Apr2026!L3:L100,$A186,Apr2026!M3:M100,$B186)+SUMIFS(May2026!K3:K100,May2026!L3:L100,$A186,May2026!M3:M100,$B186)+SUMIFS(Jun2026!K3:K100,Jun2026!L3:L100,$A186,Jun2026!M3:M100,$B186)+SUMIFS(Jul2026!K3:K100,Jul2026!L3:L100,$A186,Jul2026!M3:M100,$B186)+SUMIFS(Aug2026!K3:K100,Aug2026!L3:L100,$A186,Aug2026!M3:M100,$B186)+SUMIFS(Sep2026!K3:K100,Sep2026!L3:L100,$A186,Sep2026!M3:M100,$B186)+SUMIFS(Oct2026!K3:K100,Oct2026!L3:L100,$A186,Oct2026!M3:M100,$B186)+SUMIFS(Nov2026!K3:K100,Nov2026!L3:L100,$A186,Nov2026!M3:M100,$B186)+SUMIFS(Dec2026!K3:K100,Dec2026!L3:L100,$A186,Dec2026!M3:M100,$B186)</f>
        <v/>
      </c>
    </row>
    <row r="187">
      <c r="A187" t="inlineStr">
        <is>
          <t>Operations</t>
        </is>
      </c>
      <c r="B187" t="inlineStr">
        <is>
          <t>Repairs &amp; Maintenance</t>
        </is>
      </c>
      <c r="C187" s="8">
        <f>SUMIFS(Jan2026!K3:K100,Jan2026!L3:L100,$A187,Jan2026!M3:M100,$B187)+SUMIFS(Feb2026!K3:K100,Feb2026!L3:L100,$A187,Feb2026!M3:M100,$B187)+SUMIFS(Mar2026!K3:K100,Mar2026!L3:L100,$A187,Mar2026!M3:M100,$B187)+SUMIFS(Apr2026!K3:K100,Apr2026!L3:L100,$A187,Apr2026!M3:M100,$B187)+SUMIFS(May2026!K3:K100,May2026!L3:L100,$A187,May2026!M3:M100,$B187)+SUMIFS(Jun2026!K3:K100,Jun2026!L3:L100,$A187,Jun2026!M3:M100,$B187)+SUMIFS(Jul2026!K3:K100,Jul2026!L3:L100,$A187,Jul2026!M3:M100,$B187)+SUMIFS(Aug2026!K3:K100,Aug2026!L3:L100,$A187,Aug2026!M3:M100,$B187)+SUMIFS(Sep2026!K3:K100,Sep2026!L3:L100,$A187,Sep2026!M3:M100,$B187)+SUMIFS(Oct2026!K3:K100,Oct2026!L3:L100,$A187,Oct2026!M3:M100,$B187)+SUMIFS(Nov2026!K3:K100,Nov2026!L3:L100,$A187,Nov2026!M3:M100,$B187)+SUMIFS(Dec2026!K3:K100,Dec2026!L3:L100,$A187,Dec2026!M3:M100,$B187)</f>
        <v/>
      </c>
    </row>
    <row r="188">
      <c r="A188" t="inlineStr">
        <is>
          <t>Operations</t>
        </is>
      </c>
      <c r="B188" t="inlineStr">
        <is>
          <t>Interest</t>
        </is>
      </c>
      <c r="C188" s="8">
        <f>SUMIFS(Jan2026!K3:K100,Jan2026!L3:L100,$A188,Jan2026!M3:M100,$B188)+SUMIFS(Feb2026!K3:K100,Feb2026!L3:L100,$A188,Feb2026!M3:M100,$B188)+SUMIFS(Mar2026!K3:K100,Mar2026!L3:L100,$A188,Mar2026!M3:M100,$B188)+SUMIFS(Apr2026!K3:K100,Apr2026!L3:L100,$A188,Apr2026!M3:M100,$B188)+SUMIFS(May2026!K3:K100,May2026!L3:L100,$A188,May2026!M3:M100,$B188)+SUMIFS(Jun2026!K3:K100,Jun2026!L3:L100,$A188,Jun2026!M3:M100,$B188)+SUMIFS(Jul2026!K3:K100,Jul2026!L3:L100,$A188,Jul2026!M3:M100,$B188)+SUMIFS(Aug2026!K3:K100,Aug2026!L3:L100,$A188,Aug2026!M3:M100,$B188)+SUMIFS(Sep2026!K3:K100,Sep2026!L3:L100,$A188,Sep2026!M3:M100,$B188)+SUMIFS(Oct2026!K3:K100,Oct2026!L3:L100,$A188,Oct2026!M3:M100,$B188)+SUMIFS(Nov2026!K3:K100,Nov2026!L3:L100,$A188,Nov2026!M3:M100,$B188)+SUMIFS(Dec2026!K3:K100,Dec2026!L3:L100,$A188,Dec2026!M3:M100,$B188)</f>
        <v/>
      </c>
    </row>
    <row r="189">
      <c r="A189" t="inlineStr">
        <is>
          <t>Marketing &amp; Sales</t>
        </is>
      </c>
      <c r="B189" t="inlineStr">
        <is>
          <t>Advertisement</t>
        </is>
      </c>
      <c r="C189" s="8">
        <f>SUMIFS(Jan2026!K3:K100,Jan2026!L3:L100,$A189,Jan2026!M3:M100,$B189)+SUMIFS(Feb2026!K3:K100,Feb2026!L3:L100,$A189,Feb2026!M3:M100,$B189)+SUMIFS(Mar2026!K3:K100,Mar2026!L3:L100,$A189,Mar2026!M3:M100,$B189)+SUMIFS(Apr2026!K3:K100,Apr2026!L3:L100,$A189,Apr2026!M3:M100,$B189)+SUMIFS(May2026!K3:K100,May2026!L3:L100,$A189,May2026!M3:M100,$B189)+SUMIFS(Jun2026!K3:K100,Jun2026!L3:L100,$A189,Jun2026!M3:M100,$B189)+SUMIFS(Jul2026!K3:K100,Jul2026!L3:L100,$A189,Jul2026!M3:M100,$B189)+SUMIFS(Aug2026!K3:K100,Aug2026!L3:L100,$A189,Aug2026!M3:M100,$B189)+SUMIFS(Sep2026!K3:K100,Sep2026!L3:L100,$A189,Sep2026!M3:M100,$B189)+SUMIFS(Oct2026!K3:K100,Oct2026!L3:L100,$A189,Oct2026!M3:M100,$B189)+SUMIFS(Nov2026!K3:K100,Nov2026!L3:L100,$A189,Nov2026!M3:M100,$B189)+SUMIFS(Dec2026!K3:K100,Dec2026!L3:L100,$A189,Dec2026!M3:M100,$B189)</f>
        <v/>
      </c>
    </row>
    <row r="190">
      <c r="A190" t="inlineStr">
        <is>
          <t>Marketing &amp; Sales</t>
        </is>
      </c>
      <c r="B190" t="inlineStr">
        <is>
          <t>Flex Boards</t>
        </is>
      </c>
      <c r="C190" s="8">
        <f>SUMIFS(Jan2026!K3:K100,Jan2026!L3:L100,$A190,Jan2026!M3:M100,$B190)+SUMIFS(Feb2026!K3:K100,Feb2026!L3:L100,$A190,Feb2026!M3:M100,$B190)+SUMIFS(Mar2026!K3:K100,Mar2026!L3:L100,$A190,Mar2026!M3:M100,$B190)+SUMIFS(Apr2026!K3:K100,Apr2026!L3:L100,$A190,Apr2026!M3:M100,$B190)+SUMIFS(May2026!K3:K100,May2026!L3:L100,$A190,May2026!M3:M100,$B190)+SUMIFS(Jun2026!K3:K100,Jun2026!L3:L100,$A190,Jun2026!M3:M100,$B190)+SUMIFS(Jul2026!K3:K100,Jul2026!L3:L100,$A190,Jul2026!M3:M100,$B190)+SUMIFS(Aug2026!K3:K100,Aug2026!L3:L100,$A190,Aug2026!M3:M100,$B190)+SUMIFS(Sep2026!K3:K100,Sep2026!L3:L100,$A190,Sep2026!M3:M100,$B190)+SUMIFS(Oct2026!K3:K100,Oct2026!L3:L100,$A190,Oct2026!M3:M100,$B190)+SUMIFS(Nov2026!K3:K100,Nov2026!L3:L100,$A190,Nov2026!M3:M100,$B190)+SUMIFS(Dec2026!K3:K100,Dec2026!L3:L100,$A190,Dec2026!M3:M100,$B190)</f>
        <v/>
      </c>
    </row>
    <row r="191">
      <c r="A191" t="inlineStr">
        <is>
          <t>Marketing &amp; Sales</t>
        </is>
      </c>
      <c r="B191" t="inlineStr">
        <is>
          <t>Brochures</t>
        </is>
      </c>
      <c r="C191" s="8">
        <f>SUMIFS(Jan2026!K3:K100,Jan2026!L3:L100,$A191,Jan2026!M3:M100,$B191)+SUMIFS(Feb2026!K3:K100,Feb2026!L3:L100,$A191,Feb2026!M3:M100,$B191)+SUMIFS(Mar2026!K3:K100,Mar2026!L3:L100,$A191,Mar2026!M3:M100,$B191)+SUMIFS(Apr2026!K3:K100,Apr2026!L3:L100,$A191,Apr2026!M3:M100,$B191)+SUMIFS(May2026!K3:K100,May2026!L3:L100,$A191,May2026!M3:M100,$B191)+SUMIFS(Jun2026!K3:K100,Jun2026!L3:L100,$A191,Jun2026!M3:M100,$B191)+SUMIFS(Jul2026!K3:K100,Jul2026!L3:L100,$A191,Jul2026!M3:M100,$B191)+SUMIFS(Aug2026!K3:K100,Aug2026!L3:L100,$A191,Aug2026!M3:M100,$B191)+SUMIFS(Sep2026!K3:K100,Sep2026!L3:L100,$A191,Sep2026!M3:M100,$B191)+SUMIFS(Oct2026!K3:K100,Oct2026!L3:L100,$A191,Oct2026!M3:M100,$B191)+SUMIFS(Nov2026!K3:K100,Nov2026!L3:L100,$A191,Nov2026!M3:M100,$B191)+SUMIFS(Dec2026!K3:K100,Dec2026!L3:L100,$A191,Dec2026!M3:M100,$B191)</f>
        <v/>
      </c>
    </row>
    <row r="192">
      <c r="A192" t="inlineStr">
        <is>
          <t>Marketing &amp; Sales</t>
        </is>
      </c>
      <c r="B192" t="inlineStr">
        <is>
          <t>Events</t>
        </is>
      </c>
      <c r="C192" s="8">
        <f>SUMIFS(Jan2026!K3:K100,Jan2026!L3:L100,$A192,Jan2026!M3:M100,$B192)+SUMIFS(Feb2026!K3:K100,Feb2026!L3:L100,$A192,Feb2026!M3:M100,$B192)+SUMIFS(Mar2026!K3:K100,Mar2026!L3:L100,$A192,Mar2026!M3:M100,$B192)+SUMIFS(Apr2026!K3:K100,Apr2026!L3:L100,$A192,Apr2026!M3:M100,$B192)+SUMIFS(May2026!K3:K100,May2026!L3:L100,$A192,May2026!M3:M100,$B192)+SUMIFS(Jun2026!K3:K100,Jun2026!L3:L100,$A192,Jun2026!M3:M100,$B192)+SUMIFS(Jul2026!K3:K100,Jul2026!L3:L100,$A192,Jul2026!M3:M100,$B192)+SUMIFS(Aug2026!K3:K100,Aug2026!L3:L100,$A192,Aug2026!M3:M100,$B192)+SUMIFS(Sep2026!K3:K100,Sep2026!L3:L100,$A192,Sep2026!M3:M100,$B192)+SUMIFS(Oct2026!K3:K100,Oct2026!L3:L100,$A192,Oct2026!M3:M100,$B192)+SUMIFS(Nov2026!K3:K100,Nov2026!L3:L100,$A192,Nov2026!M3:M100,$B192)+SUMIFS(Dec2026!K3:K100,Dec2026!L3:L100,$A192,Dec2026!M3:M100,$B192)</f>
        <v/>
      </c>
    </row>
    <row r="193">
      <c r="A193" t="inlineStr">
        <is>
          <t>Marketing &amp; Sales</t>
        </is>
      </c>
      <c r="B193" t="inlineStr">
        <is>
          <t>Photography &amp; Drone</t>
        </is>
      </c>
      <c r="C193" s="8">
        <f>SUMIFS(Jan2026!K3:K100,Jan2026!L3:L100,$A193,Jan2026!M3:M100,$B193)+SUMIFS(Feb2026!K3:K100,Feb2026!L3:L100,$A193,Feb2026!M3:M100,$B193)+SUMIFS(Mar2026!K3:K100,Mar2026!L3:L100,$A193,Mar2026!M3:M100,$B193)+SUMIFS(Apr2026!K3:K100,Apr2026!L3:L100,$A193,Apr2026!M3:M100,$B193)+SUMIFS(May2026!K3:K100,May2026!L3:L100,$A193,May2026!M3:M100,$B193)+SUMIFS(Jun2026!K3:K100,Jun2026!L3:L100,$A193,Jun2026!M3:M100,$B193)+SUMIFS(Jul2026!K3:K100,Jul2026!L3:L100,$A193,Jul2026!M3:M100,$B193)+SUMIFS(Aug2026!K3:K100,Aug2026!L3:L100,$A193,Aug2026!M3:M100,$B193)+SUMIFS(Sep2026!K3:K100,Sep2026!L3:L100,$A193,Sep2026!M3:M100,$B193)+SUMIFS(Oct2026!K3:K100,Oct2026!L3:L100,$A193,Oct2026!M3:M100,$B193)+SUMIFS(Nov2026!K3:K100,Nov2026!L3:L100,$A193,Nov2026!M3:M100,$B193)+SUMIFS(Dec2026!K3:K100,Dec2026!L3:L100,$A193,Dec2026!M3:M100,$B193)</f>
        <v/>
      </c>
    </row>
    <row r="194">
      <c r="A194" t="inlineStr">
        <is>
          <t>Marketing &amp; Sales</t>
        </is>
      </c>
      <c r="B194" t="inlineStr">
        <is>
          <t>Digital Marketing</t>
        </is>
      </c>
      <c r="C194" s="8">
        <f>SUMIFS(Jan2026!K3:K100,Jan2026!L3:L100,$A194,Jan2026!M3:M100,$B194)+SUMIFS(Feb2026!K3:K100,Feb2026!L3:L100,$A194,Feb2026!M3:M100,$B194)+SUMIFS(Mar2026!K3:K100,Mar2026!L3:L100,$A194,Mar2026!M3:M100,$B194)+SUMIFS(Apr2026!K3:K100,Apr2026!L3:L100,$A194,Apr2026!M3:M100,$B194)+SUMIFS(May2026!K3:K100,May2026!L3:L100,$A194,May2026!M3:M100,$B194)+SUMIFS(Jun2026!K3:K100,Jun2026!L3:L100,$A194,Jun2026!M3:M100,$B194)+SUMIFS(Jul2026!K3:K100,Jul2026!L3:L100,$A194,Jul2026!M3:M100,$B194)+SUMIFS(Aug2026!K3:K100,Aug2026!L3:L100,$A194,Aug2026!M3:M100,$B194)+SUMIFS(Sep2026!K3:K100,Sep2026!L3:L100,$A194,Sep2026!M3:M100,$B194)+SUMIFS(Oct2026!K3:K100,Oct2026!L3:L100,$A194,Oct2026!M3:M100,$B194)+SUMIFS(Nov2026!K3:K100,Nov2026!L3:L100,$A194,Nov2026!M3:M100,$B194)+SUMIFS(Dec2026!K3:K100,Dec2026!L3:L100,$A194,Dec2026!M3:M100,$B194)</f>
        <v/>
      </c>
    </row>
    <row r="195">
      <c r="A195" t="inlineStr">
        <is>
          <t>Miscellaneous</t>
        </is>
      </c>
      <c r="B195" t="inlineStr">
        <is>
          <t>Travel Expenses</t>
        </is>
      </c>
      <c r="C195" s="8">
        <f>SUMIFS(Jan2026!K3:K100,Jan2026!L3:L100,$A195,Jan2026!M3:M100,$B195)+SUMIFS(Feb2026!K3:K100,Feb2026!L3:L100,$A195,Feb2026!M3:M100,$B195)+SUMIFS(Mar2026!K3:K100,Mar2026!L3:L100,$A195,Mar2026!M3:M100,$B195)+SUMIFS(Apr2026!K3:K100,Apr2026!L3:L100,$A195,Apr2026!M3:M100,$B195)+SUMIFS(May2026!K3:K100,May2026!L3:L100,$A195,May2026!M3:M100,$B195)+SUMIFS(Jun2026!K3:K100,Jun2026!L3:L100,$A195,Jun2026!M3:M100,$B195)+SUMIFS(Jul2026!K3:K100,Jul2026!L3:L100,$A195,Jul2026!M3:M100,$B195)+SUMIFS(Aug2026!K3:K100,Aug2026!L3:L100,$A195,Aug2026!M3:M100,$B195)+SUMIFS(Sep2026!K3:K100,Sep2026!L3:L100,$A195,Sep2026!M3:M100,$B195)+SUMIFS(Oct2026!K3:K100,Oct2026!L3:L100,$A195,Oct2026!M3:M100,$B195)+SUMIFS(Nov2026!K3:K100,Nov2026!L3:L100,$A195,Nov2026!M3:M100,$B195)+SUMIFS(Dec2026!K3:K100,Dec2026!L3:L100,$A195,Dec2026!M3:M100,$B195)</f>
        <v/>
      </c>
    </row>
    <row r="196">
      <c r="A196" t="inlineStr">
        <is>
          <t>Miscellaneous</t>
        </is>
      </c>
      <c r="B196" t="inlineStr">
        <is>
          <t>Food &amp; Refreshments</t>
        </is>
      </c>
      <c r="C196" s="8">
        <f>SUMIFS(Jan2026!K3:K100,Jan2026!L3:L100,$A196,Jan2026!M3:M100,$B196)+SUMIFS(Feb2026!K3:K100,Feb2026!L3:L100,$A196,Feb2026!M3:M100,$B196)+SUMIFS(Mar2026!K3:K100,Mar2026!L3:L100,$A196,Mar2026!M3:M100,$B196)+SUMIFS(Apr2026!K3:K100,Apr2026!L3:L100,$A196,Apr2026!M3:M100,$B196)+SUMIFS(May2026!K3:K100,May2026!L3:L100,$A196,May2026!M3:M100,$B196)+SUMIFS(Jun2026!K3:K100,Jun2026!L3:L100,$A196,Jun2026!M3:M100,$B196)+SUMIFS(Jul2026!K3:K100,Jul2026!L3:L100,$A196,Jul2026!M3:M100,$B196)+SUMIFS(Aug2026!K3:K100,Aug2026!L3:L100,$A196,Aug2026!M3:M100,$B196)+SUMIFS(Sep2026!K3:K100,Sep2026!L3:L100,$A196,Sep2026!M3:M100,$B196)+SUMIFS(Oct2026!K3:K100,Oct2026!L3:L100,$A196,Oct2026!M3:M100,$B196)+SUMIFS(Nov2026!K3:K100,Nov2026!L3:L100,$A196,Nov2026!M3:M100,$B196)+SUMIFS(Dec2026!K3:K100,Dec2026!L3:L100,$A196,Dec2026!M3:M100,$B196)</f>
        <v/>
      </c>
    </row>
    <row r="197">
      <c r="A197" t="inlineStr">
        <is>
          <t>Miscellaneous</t>
        </is>
      </c>
      <c r="B197" t="inlineStr">
        <is>
          <t>Government Fees</t>
        </is>
      </c>
      <c r="C197" s="8">
        <f>SUMIFS(Jan2026!K3:K100,Jan2026!L3:L100,$A197,Jan2026!M3:M100,$B197)+SUMIFS(Feb2026!K3:K100,Feb2026!L3:L100,$A197,Feb2026!M3:M100,$B197)+SUMIFS(Mar2026!K3:K100,Mar2026!L3:L100,$A197,Mar2026!M3:M100,$B197)+SUMIFS(Apr2026!K3:K100,Apr2026!L3:L100,$A197,Apr2026!M3:M100,$B197)+SUMIFS(May2026!K3:K100,May2026!L3:L100,$A197,May2026!M3:M100,$B197)+SUMIFS(Jun2026!K3:K100,Jun2026!L3:L100,$A197,Jun2026!M3:M100,$B197)+SUMIFS(Jul2026!K3:K100,Jul2026!L3:L100,$A197,Jul2026!M3:M100,$B197)+SUMIFS(Aug2026!K3:K100,Aug2026!L3:L100,$A197,Aug2026!M3:M100,$B197)+SUMIFS(Sep2026!K3:K100,Sep2026!L3:L100,$A197,Sep2026!M3:M100,$B197)+SUMIFS(Oct2026!K3:K100,Oct2026!L3:L100,$A197,Oct2026!M3:M100,$B197)+SUMIFS(Nov2026!K3:K100,Nov2026!L3:L100,$A197,Nov2026!M3:M100,$B197)+SUMIFS(Dec2026!K3:K100,Dec2026!L3:L100,$A197,Dec2026!M3:M100,$B197)</f>
        <v/>
      </c>
    </row>
    <row r="198">
      <c r="A198" t="inlineStr">
        <is>
          <t>Miscellaneous</t>
        </is>
      </c>
      <c r="B198" t="inlineStr">
        <is>
          <t>Miscellaneous Expenses</t>
        </is>
      </c>
      <c r="C198" s="8">
        <f>SUMIFS(Jan2026!K3:K100,Jan2026!L3:L100,$A198,Jan2026!M3:M100,$B198)+SUMIFS(Feb2026!K3:K100,Feb2026!L3:L100,$A198,Feb2026!M3:M100,$B198)+SUMIFS(Mar2026!K3:K100,Mar2026!L3:L100,$A198,Mar2026!M3:M100,$B198)+SUMIFS(Apr2026!K3:K100,Apr2026!L3:L100,$A198,Apr2026!M3:M100,$B198)+SUMIFS(May2026!K3:K100,May2026!L3:L100,$A198,May2026!M3:M100,$B198)+SUMIFS(Jun2026!K3:K100,Jun2026!L3:L100,$A198,Jun2026!M3:M100,$B198)+SUMIFS(Jul2026!K3:K100,Jul2026!L3:L100,$A198,Jul2026!M3:M100,$B198)+SUMIFS(Aug2026!K3:K100,Aug2026!L3:L100,$A198,Aug2026!M3:M100,$B198)+SUMIFS(Sep2026!K3:K100,Sep2026!L3:L100,$A198,Sep2026!M3:M100,$B198)+SUMIFS(Oct2026!K3:K100,Oct2026!L3:L100,$A198,Oct2026!M3:M100,$B198)+SUMIFS(Nov2026!K3:K100,Nov2026!L3:L100,$A198,Nov2026!M3:M100,$B198)+SUMIFS(Dec2026!K3:K100,Dec2026!L3:L100,$A198,Dec2026!M3:M100,$B198)</f>
        <v/>
      </c>
    </row>
    <row r="199">
      <c r="A199" t="inlineStr">
        <is>
          <t>Miscellaneous</t>
        </is>
      </c>
      <c r="B199" t="inlineStr">
        <is>
          <t>VIP Formalities</t>
        </is>
      </c>
      <c r="C199" s="8">
        <f>SUMIFS(Jan2026!K3:K100,Jan2026!L3:L100,$A199,Jan2026!M3:M100,$B199)+SUMIFS(Feb2026!K3:K100,Feb2026!L3:L100,$A199,Feb2026!M3:M100,$B199)+SUMIFS(Mar2026!K3:K100,Mar2026!L3:L100,$A199,Mar2026!M3:M100,$B199)+SUMIFS(Apr2026!K3:K100,Apr2026!L3:L100,$A199,Apr2026!M3:M100,$B199)+SUMIFS(May2026!K3:K100,May2026!L3:L100,$A199,May2026!M3:M100,$B199)+SUMIFS(Jun2026!K3:K100,Jun2026!L3:L100,$A199,Jun2026!M3:M100,$B199)+SUMIFS(Jul2026!K3:K100,Jul2026!L3:L100,$A199,Jul2026!M3:M100,$B199)+SUMIFS(Aug2026!K3:K100,Aug2026!L3:L100,$A199,Aug2026!M3:M100,$B199)+SUMIFS(Sep2026!K3:K100,Sep2026!L3:L100,$A199,Sep2026!M3:M100,$B199)+SUMIFS(Oct2026!K3:K100,Oct2026!L3:L100,$A199,Oct2026!M3:M100,$B199)+SUMIFS(Nov2026!K3:K100,Nov2026!L3:L100,$A199,Nov2026!M3:M100,$B199)+SUMIFS(Dec2026!K3:K100,Dec2026!L3:L100,$A199,Dec2026!M3:M100,$B199)</f>
        <v/>
      </c>
    </row>
    <row r="200">
      <c r="A200" t="inlineStr">
        <is>
          <t>Office</t>
        </is>
      </c>
      <c r="B200" t="inlineStr">
        <is>
          <t>Office Rent</t>
        </is>
      </c>
      <c r="C200" s="8">
        <f>SUMIFS(Jan2026!K3:K100,Jan2026!L3:L100,$A200,Jan2026!M3:M100,$B200)+SUMIFS(Feb2026!K3:K100,Feb2026!L3:L100,$A200,Feb2026!M3:M100,$B200)+SUMIFS(Mar2026!K3:K100,Mar2026!L3:L100,$A200,Mar2026!M3:M100,$B200)+SUMIFS(Apr2026!K3:K100,Apr2026!L3:L100,$A200,Apr2026!M3:M100,$B200)+SUMIFS(May2026!K3:K100,May2026!L3:L100,$A200,May2026!M3:M100,$B200)+SUMIFS(Jun2026!K3:K100,Jun2026!L3:L100,$A200,Jun2026!M3:M100,$B200)+SUMIFS(Jul2026!K3:K100,Jul2026!L3:L100,$A200,Jul2026!M3:M100,$B200)+SUMIFS(Aug2026!K3:K100,Aug2026!L3:L100,$A200,Aug2026!M3:M100,$B200)+SUMIFS(Sep2026!K3:K100,Sep2026!L3:L100,$A200,Sep2026!M3:M100,$B200)+SUMIFS(Oct2026!K3:K100,Oct2026!L3:L100,$A200,Oct2026!M3:M100,$B200)+SUMIFS(Nov2026!K3:K100,Nov2026!L3:L100,$A200,Nov2026!M3:M100,$B200)+SUMIFS(Dec2026!K3:K100,Dec2026!L3:L100,$A200,Dec2026!M3:M100,$B200)</f>
        <v/>
      </c>
    </row>
    <row r="201">
      <c r="A201" t="inlineStr">
        <is>
          <t>Office</t>
        </is>
      </c>
      <c r="B201" t="inlineStr">
        <is>
          <t>Electricity Bill</t>
        </is>
      </c>
      <c r="C201" s="8">
        <f>SUMIFS(Jan2026!K3:K100,Jan2026!L3:L100,$A201,Jan2026!M3:M100,$B201)+SUMIFS(Feb2026!K3:K100,Feb2026!L3:L100,$A201,Feb2026!M3:M100,$B201)+SUMIFS(Mar2026!K3:K100,Mar2026!L3:L100,$A201,Mar2026!M3:M100,$B201)+SUMIFS(Apr2026!K3:K100,Apr2026!L3:L100,$A201,Apr2026!M3:M100,$B201)+SUMIFS(May2026!K3:K100,May2026!L3:L100,$A201,May2026!M3:M100,$B201)+SUMIFS(Jun2026!K3:K100,Jun2026!L3:L100,$A201,Jun2026!M3:M100,$B201)+SUMIFS(Jul2026!K3:K100,Jul2026!L3:L100,$A201,Jul2026!M3:M100,$B201)+SUMIFS(Aug2026!K3:K100,Aug2026!L3:L100,$A201,Aug2026!M3:M100,$B201)+SUMIFS(Sep2026!K3:K100,Sep2026!L3:L100,$A201,Sep2026!M3:M100,$B201)+SUMIFS(Oct2026!K3:K100,Oct2026!L3:L100,$A201,Oct2026!M3:M100,$B201)+SUMIFS(Nov2026!K3:K100,Nov2026!L3:L100,$A201,Nov2026!M3:M100,$B201)+SUMIFS(Dec2026!K3:K100,Dec2026!L3:L100,$A201,Dec2026!M3:M100,$B201)</f>
        <v/>
      </c>
    </row>
    <row r="202">
      <c r="A202" t="inlineStr">
        <is>
          <t>Office</t>
        </is>
      </c>
      <c r="B202" t="inlineStr">
        <is>
          <t>Internet &amp; Wi-Fi</t>
        </is>
      </c>
      <c r="C202" s="8">
        <f>SUMIFS(Jan2026!K3:K100,Jan2026!L3:L100,$A202,Jan2026!M3:M100,$B202)+SUMIFS(Feb2026!K3:K100,Feb2026!L3:L100,$A202,Feb2026!M3:M100,$B202)+SUMIFS(Mar2026!K3:K100,Mar2026!L3:L100,$A202,Mar2026!M3:M100,$B202)+SUMIFS(Apr2026!K3:K100,Apr2026!L3:L100,$A202,Apr2026!M3:M100,$B202)+SUMIFS(May2026!K3:K100,May2026!L3:L100,$A202,May2026!M3:M100,$B202)+SUMIFS(Jun2026!K3:K100,Jun2026!L3:L100,$A202,Jun2026!M3:M100,$B202)+SUMIFS(Jul2026!K3:K100,Jul2026!L3:L100,$A202,Jul2026!M3:M100,$B202)+SUMIFS(Aug2026!K3:K100,Aug2026!L3:L100,$A202,Aug2026!M3:M100,$B202)+SUMIFS(Sep2026!K3:K100,Sep2026!L3:L100,$A202,Sep2026!M3:M100,$B202)+SUMIFS(Oct2026!K3:K100,Oct2026!L3:L100,$A202,Oct2026!M3:M100,$B202)+SUMIFS(Nov2026!K3:K100,Nov2026!L3:L100,$A202,Nov2026!M3:M100,$B202)+SUMIFS(Dec2026!K3:K100,Dec2026!L3:L100,$A202,Dec2026!M3:M100,$B202)</f>
        <v/>
      </c>
    </row>
    <row r="203">
      <c r="A203" t="inlineStr">
        <is>
          <t>Office</t>
        </is>
      </c>
      <c r="B203" t="inlineStr">
        <is>
          <t>Mobile Bills</t>
        </is>
      </c>
      <c r="C203" s="8">
        <f>SUMIFS(Jan2026!K3:K100,Jan2026!L3:L100,$A203,Jan2026!M3:M100,$B203)+SUMIFS(Feb2026!K3:K100,Feb2026!L3:L100,$A203,Feb2026!M3:M100,$B203)+SUMIFS(Mar2026!K3:K100,Mar2026!L3:L100,$A203,Mar2026!M3:M100,$B203)+SUMIFS(Apr2026!K3:K100,Apr2026!L3:L100,$A203,Apr2026!M3:M100,$B203)+SUMIFS(May2026!K3:K100,May2026!L3:L100,$A203,May2026!M3:M100,$B203)+SUMIFS(Jun2026!K3:K100,Jun2026!L3:L100,$A203,Jun2026!M3:M100,$B203)+SUMIFS(Jul2026!K3:K100,Jul2026!L3:L100,$A203,Jul2026!M3:M100,$B203)+SUMIFS(Aug2026!K3:K100,Aug2026!L3:L100,$A203,Aug2026!M3:M100,$B203)+SUMIFS(Sep2026!K3:K100,Sep2026!L3:L100,$A203,Sep2026!M3:M100,$B203)+SUMIFS(Oct2026!K3:K100,Oct2026!L3:L100,$A203,Oct2026!M3:M100,$B203)+SUMIFS(Nov2026!K3:K100,Nov2026!L3:L100,$A203,Nov2026!M3:M100,$B203)+SUMIFS(Dec2026!K3:K100,Dec2026!L3:L100,$A203,Dec2026!M3:M100,$B203)</f>
        <v/>
      </c>
    </row>
    <row r="204">
      <c r="A204" t="inlineStr">
        <is>
          <t>Office</t>
        </is>
      </c>
      <c r="B204" t="inlineStr">
        <is>
          <t>Office Maintenance</t>
        </is>
      </c>
      <c r="C204" s="8">
        <f>SUMIFS(Jan2026!K3:K100,Jan2026!L3:L100,$A204,Jan2026!M3:M100,$B204)+SUMIFS(Feb2026!K3:K100,Feb2026!L3:L100,$A204,Feb2026!M3:M100,$B204)+SUMIFS(Mar2026!K3:K100,Mar2026!L3:L100,$A204,Mar2026!M3:M100,$B204)+SUMIFS(Apr2026!K3:K100,Apr2026!L3:L100,$A204,Apr2026!M3:M100,$B204)+SUMIFS(May2026!K3:K100,May2026!L3:L100,$A204,May2026!M3:M100,$B204)+SUMIFS(Jun2026!K3:K100,Jun2026!L3:L100,$A204,Jun2026!M3:M100,$B204)+SUMIFS(Jul2026!K3:K100,Jul2026!L3:L100,$A204,Jul2026!M3:M100,$B204)+SUMIFS(Aug2026!K3:K100,Aug2026!L3:L100,$A204,Aug2026!M3:M100,$B204)+SUMIFS(Sep2026!K3:K100,Sep2026!L3:L100,$A204,Sep2026!M3:M100,$B204)+SUMIFS(Oct2026!K3:K100,Oct2026!L3:L100,$A204,Oct2026!M3:M100,$B204)+SUMIFS(Nov2026!K3:K100,Nov2026!L3:L100,$A204,Nov2026!M3:M100,$B204)+SUMIFS(Dec2026!K3:K100,Dec2026!L3:L100,$A204,Dec2026!M3:M100,$B204)</f>
        <v/>
      </c>
    </row>
    <row r="205">
      <c r="A205" t="inlineStr">
        <is>
          <t>Office</t>
        </is>
      </c>
      <c r="B205" t="inlineStr">
        <is>
          <t>Housekeeping &amp; Cleaning</t>
        </is>
      </c>
      <c r="C205" s="8">
        <f>SUMIFS(Jan2026!K3:K100,Jan2026!L3:L100,$A205,Jan2026!M3:M100,$B205)+SUMIFS(Feb2026!K3:K100,Feb2026!L3:L100,$A205,Feb2026!M3:M100,$B205)+SUMIFS(Mar2026!K3:K100,Mar2026!L3:L100,$A205,Mar2026!M3:M100,$B205)+SUMIFS(Apr2026!K3:K100,Apr2026!L3:L100,$A205,Apr2026!M3:M100,$B205)+SUMIFS(May2026!K3:K100,May2026!L3:L100,$A205,May2026!M3:M100,$B205)+SUMIFS(Jun2026!K3:K100,Jun2026!L3:L100,$A205,Jun2026!M3:M100,$B205)+SUMIFS(Jul2026!K3:K100,Jul2026!L3:L100,$A205,Jul2026!M3:M100,$B205)+SUMIFS(Aug2026!K3:K100,Aug2026!L3:L100,$A205,Aug2026!M3:M100,$B205)+SUMIFS(Sep2026!K3:K100,Sep2026!L3:L100,$A205,Sep2026!M3:M100,$B205)+SUMIFS(Oct2026!K3:K100,Oct2026!L3:L100,$A205,Oct2026!M3:M100,$B205)+SUMIFS(Nov2026!K3:K100,Nov2026!L3:L100,$A205,Nov2026!M3:M100,$B205)+SUMIFS(Dec2026!K3:K100,Dec2026!L3:L100,$A205,Dec2026!M3:M100,$B205)</f>
        <v/>
      </c>
    </row>
    <row r="206">
      <c r="A206" t="inlineStr">
        <is>
          <t>Office</t>
        </is>
      </c>
      <c r="B206" t="inlineStr">
        <is>
          <t>Drinking Water</t>
        </is>
      </c>
      <c r="C206" s="8">
        <f>SUMIFS(Jan2026!K3:K100,Jan2026!L3:L100,$A206,Jan2026!M3:M100,$B206)+SUMIFS(Feb2026!K3:K100,Feb2026!L3:L100,$A206,Feb2026!M3:M100,$B206)+SUMIFS(Mar2026!K3:K100,Mar2026!L3:L100,$A206,Mar2026!M3:M100,$B206)+SUMIFS(Apr2026!K3:K100,Apr2026!L3:L100,$A206,Apr2026!M3:M100,$B206)+SUMIFS(May2026!K3:K100,May2026!L3:L100,$A206,May2026!M3:M100,$B206)+SUMIFS(Jun2026!K3:K100,Jun2026!L3:L100,$A206,Jun2026!M3:M100,$B206)+SUMIFS(Jul2026!K3:K100,Jul2026!L3:L100,$A206,Jul2026!M3:M100,$B206)+SUMIFS(Aug2026!K3:K100,Aug2026!L3:L100,$A206,Aug2026!M3:M100,$B206)+SUMIFS(Sep2026!K3:K100,Sep2026!L3:L100,$A206,Sep2026!M3:M100,$B206)+SUMIFS(Oct2026!K3:K100,Oct2026!L3:L100,$A206,Oct2026!M3:M100,$B206)+SUMIFS(Nov2026!K3:K100,Nov2026!L3:L100,$A206,Nov2026!M3:M100,$B206)+SUMIFS(Dec2026!K3:K100,Dec2026!L3:L100,$A206,Dec2026!M3:M100,$B206)</f>
        <v/>
      </c>
    </row>
    <row r="207">
      <c r="A207" t="inlineStr">
        <is>
          <t>Office</t>
        </is>
      </c>
      <c r="B207" t="inlineStr">
        <is>
          <t>Tea, Coffee &amp; Pantry</t>
        </is>
      </c>
      <c r="C207" s="8">
        <f>SUMIFS(Jan2026!K3:K100,Jan2026!L3:L100,$A207,Jan2026!M3:M100,$B207)+SUMIFS(Feb2026!K3:K100,Feb2026!L3:L100,$A207,Feb2026!M3:M100,$B207)+SUMIFS(Mar2026!K3:K100,Mar2026!L3:L100,$A207,Mar2026!M3:M100,$B207)+SUMIFS(Apr2026!K3:K100,Apr2026!L3:L100,$A207,Apr2026!M3:M100,$B207)+SUMIFS(May2026!K3:K100,May2026!L3:L100,$A207,May2026!M3:M100,$B207)+SUMIFS(Jun2026!K3:K100,Jun2026!L3:L100,$A207,Jun2026!M3:M100,$B207)+SUMIFS(Jul2026!K3:K100,Jul2026!L3:L100,$A207,Jul2026!M3:M100,$B207)+SUMIFS(Aug2026!K3:K100,Aug2026!L3:L100,$A207,Aug2026!M3:M100,$B207)+SUMIFS(Sep2026!K3:K100,Sep2026!L3:L100,$A207,Sep2026!M3:M100,$B207)+SUMIFS(Oct2026!K3:K100,Oct2026!L3:L100,$A207,Oct2026!M3:M100,$B207)+SUMIFS(Nov2026!K3:K100,Nov2026!L3:L100,$A207,Nov2026!M3:M100,$B207)+SUMIFS(Dec2026!K3:K100,Dec2026!L3:L100,$A207,Dec2026!M3:M100,$B207)</f>
        <v/>
      </c>
    </row>
    <row r="208">
      <c r="A208" t="inlineStr">
        <is>
          <t>Office</t>
        </is>
      </c>
      <c r="B208" t="inlineStr">
        <is>
          <t>Office Groceries</t>
        </is>
      </c>
      <c r="C208" s="8">
        <f>SUMIFS(Jan2026!K3:K100,Jan2026!L3:L100,$A208,Jan2026!M3:M100,$B208)+SUMIFS(Feb2026!K3:K100,Feb2026!L3:L100,$A208,Feb2026!M3:M100,$B208)+SUMIFS(Mar2026!K3:K100,Mar2026!L3:L100,$A208,Mar2026!M3:M100,$B208)+SUMIFS(Apr2026!K3:K100,Apr2026!L3:L100,$A208,Apr2026!M3:M100,$B208)+SUMIFS(May2026!K3:K100,May2026!L3:L100,$A208,May2026!M3:M100,$B208)+SUMIFS(Jun2026!K3:K100,Jun2026!L3:L100,$A208,Jun2026!M3:M100,$B208)+SUMIFS(Jul2026!K3:K100,Jul2026!L3:L100,$A208,Jul2026!M3:M100,$B208)+SUMIFS(Aug2026!K3:K100,Aug2026!L3:L100,$A208,Aug2026!M3:M100,$B208)+SUMIFS(Sep2026!K3:K100,Sep2026!L3:L100,$A208,Sep2026!M3:M100,$B208)+SUMIFS(Oct2026!K3:K100,Oct2026!L3:L100,$A208,Oct2026!M3:M100,$B208)+SUMIFS(Nov2026!K3:K100,Nov2026!L3:L100,$A208,Nov2026!M3:M100,$B208)+SUMIFS(Dec2026!K3:K100,Dec2026!L3:L100,$A208,Dec2026!M3:M100,$B208)</f>
        <v/>
      </c>
    </row>
    <row r="209">
      <c r="A209" t="inlineStr">
        <is>
          <t>Office</t>
        </is>
      </c>
      <c r="B209" t="inlineStr">
        <is>
          <t>Stationery &amp; Printing</t>
        </is>
      </c>
      <c r="C209" s="8">
        <f>SUMIFS(Jan2026!K3:K100,Jan2026!L3:L100,$A209,Jan2026!M3:M100,$B209)+SUMIFS(Feb2026!K3:K100,Feb2026!L3:L100,$A209,Feb2026!M3:M100,$B209)+SUMIFS(Mar2026!K3:K100,Mar2026!L3:L100,$A209,Mar2026!M3:M100,$B209)+SUMIFS(Apr2026!K3:K100,Apr2026!L3:L100,$A209,Apr2026!M3:M100,$B209)+SUMIFS(May2026!K3:K100,May2026!L3:L100,$A209,May2026!M3:M100,$B209)+SUMIFS(Jun2026!K3:K100,Jun2026!L3:L100,$A209,Jun2026!M3:M100,$B209)+SUMIFS(Jul2026!K3:K100,Jul2026!L3:L100,$A209,Jul2026!M3:M100,$B209)+SUMIFS(Aug2026!K3:K100,Aug2026!L3:L100,$A209,Aug2026!M3:M100,$B209)+SUMIFS(Sep2026!K3:K100,Sep2026!L3:L100,$A209,Sep2026!M3:M100,$B209)+SUMIFS(Oct2026!K3:K100,Oct2026!L3:L100,$A209,Oct2026!M3:M100,$B209)+SUMIFS(Nov2026!K3:K100,Nov2026!L3:L100,$A209,Nov2026!M3:M100,$B209)+SUMIFS(Dec2026!K3:K100,Dec2026!L3:L100,$A209,Dec2026!M3:M100,$B209)</f>
        <v/>
      </c>
    </row>
    <row r="210">
      <c r="A210" t="inlineStr">
        <is>
          <t>Office</t>
        </is>
      </c>
      <c r="B210" t="inlineStr">
        <is>
          <t>Photocopy &amp; Scanning</t>
        </is>
      </c>
      <c r="C210" s="8">
        <f>SUMIFS(Jan2026!K3:K100,Jan2026!L3:L100,$A210,Jan2026!M3:M100,$B210)+SUMIFS(Feb2026!K3:K100,Feb2026!L3:L100,$A210,Feb2026!M3:M100,$B210)+SUMIFS(Mar2026!K3:K100,Mar2026!L3:L100,$A210,Mar2026!M3:M100,$B210)+SUMIFS(Apr2026!K3:K100,Apr2026!L3:L100,$A210,Apr2026!M3:M100,$B210)+SUMIFS(May2026!K3:K100,May2026!L3:L100,$A210,May2026!M3:M100,$B210)+SUMIFS(Jun2026!K3:K100,Jun2026!L3:L100,$A210,Jun2026!M3:M100,$B210)+SUMIFS(Jul2026!K3:K100,Jul2026!L3:L100,$A210,Jul2026!M3:M100,$B210)+SUMIFS(Aug2026!K3:K100,Aug2026!L3:L100,$A210,Aug2026!M3:M100,$B210)+SUMIFS(Sep2026!K3:K100,Sep2026!L3:L100,$A210,Sep2026!M3:M100,$B210)+SUMIFS(Oct2026!K3:K100,Oct2026!L3:L100,$A210,Oct2026!M3:M100,$B210)+SUMIFS(Nov2026!K3:K100,Nov2026!L3:L100,$A210,Nov2026!M3:M100,$B210)+SUMIFS(Dec2026!K3:K100,Dec2026!L3:L100,$A210,Dec2026!M3:M100,$B210)</f>
        <v/>
      </c>
    </row>
    <row r="211">
      <c r="A211" t="inlineStr">
        <is>
          <t>Office</t>
        </is>
      </c>
      <c r="B211" t="inlineStr">
        <is>
          <t>Printer Ink &amp; Toner</t>
        </is>
      </c>
      <c r="C211" s="8">
        <f>SUMIFS(Jan2026!K3:K100,Jan2026!L3:L100,$A211,Jan2026!M3:M100,$B211)+SUMIFS(Feb2026!K3:K100,Feb2026!L3:L100,$A211,Feb2026!M3:M100,$B211)+SUMIFS(Mar2026!K3:K100,Mar2026!L3:L100,$A211,Mar2026!M3:M100,$B211)+SUMIFS(Apr2026!K3:K100,Apr2026!L3:L100,$A211,Apr2026!M3:M100,$B211)+SUMIFS(May2026!K3:K100,May2026!L3:L100,$A211,May2026!M3:M100,$B211)+SUMIFS(Jun2026!K3:K100,Jun2026!L3:L100,$A211,Jun2026!M3:M100,$B211)+SUMIFS(Jul2026!K3:K100,Jul2026!L3:L100,$A211,Jul2026!M3:M100,$B211)+SUMIFS(Aug2026!K3:K100,Aug2026!L3:L100,$A211,Aug2026!M3:M100,$B211)+SUMIFS(Sep2026!K3:K100,Sep2026!L3:L100,$A211,Sep2026!M3:M100,$B211)+SUMIFS(Oct2026!K3:K100,Oct2026!L3:L100,$A211,Oct2026!M3:M100,$B211)+SUMIFS(Nov2026!K3:K100,Nov2026!L3:L100,$A211,Nov2026!M3:M100,$B211)+SUMIFS(Dec2026!K3:K100,Dec2026!L3:L100,$A211,Dec2026!M3:M100,$B211)</f>
        <v/>
      </c>
    </row>
    <row r="212">
      <c r="A212" t="inlineStr">
        <is>
          <t>Office</t>
        </is>
      </c>
      <c r="B212" t="inlineStr">
        <is>
          <t>Office Furniture</t>
        </is>
      </c>
      <c r="C212" s="8">
        <f>SUMIFS(Jan2026!K3:K100,Jan2026!L3:L100,$A212,Jan2026!M3:M100,$B212)+SUMIFS(Feb2026!K3:K100,Feb2026!L3:L100,$A212,Feb2026!M3:M100,$B212)+SUMIFS(Mar2026!K3:K100,Mar2026!L3:L100,$A212,Mar2026!M3:M100,$B212)+SUMIFS(Apr2026!K3:K100,Apr2026!L3:L100,$A212,Apr2026!M3:M100,$B212)+SUMIFS(May2026!K3:K100,May2026!L3:L100,$A212,May2026!M3:M100,$B212)+SUMIFS(Jun2026!K3:K100,Jun2026!L3:L100,$A212,Jun2026!M3:M100,$B212)+SUMIFS(Jul2026!K3:K100,Jul2026!L3:L100,$A212,Jul2026!M3:M100,$B212)+SUMIFS(Aug2026!K3:K100,Aug2026!L3:L100,$A212,Aug2026!M3:M100,$B212)+SUMIFS(Sep2026!K3:K100,Sep2026!L3:L100,$A212,Sep2026!M3:M100,$B212)+SUMIFS(Oct2026!K3:K100,Oct2026!L3:L100,$A212,Oct2026!M3:M100,$B212)+SUMIFS(Nov2026!K3:K100,Nov2026!L3:L100,$A212,Nov2026!M3:M100,$B212)+SUMIFS(Dec2026!K3:K100,Dec2026!L3:L100,$A212,Dec2026!M3:M100,$B212)</f>
        <v/>
      </c>
    </row>
    <row r="213">
      <c r="A213" t="inlineStr">
        <is>
          <t>Office</t>
        </is>
      </c>
      <c r="B213" t="inlineStr">
        <is>
          <t>Office Equipment</t>
        </is>
      </c>
      <c r="C213" s="8">
        <f>SUMIFS(Jan2026!K3:K100,Jan2026!L3:L100,$A213,Jan2026!M3:M100,$B213)+SUMIFS(Feb2026!K3:K100,Feb2026!L3:L100,$A213,Feb2026!M3:M100,$B213)+SUMIFS(Mar2026!K3:K100,Mar2026!L3:L100,$A213,Mar2026!M3:M100,$B213)+SUMIFS(Apr2026!K3:K100,Apr2026!L3:L100,$A213,Apr2026!M3:M100,$B213)+SUMIFS(May2026!K3:K100,May2026!L3:L100,$A213,May2026!M3:M100,$B213)+SUMIFS(Jun2026!K3:K100,Jun2026!L3:L100,$A213,Jun2026!M3:M100,$B213)+SUMIFS(Jul2026!K3:K100,Jul2026!L3:L100,$A213,Jul2026!M3:M100,$B213)+SUMIFS(Aug2026!K3:K100,Aug2026!L3:L100,$A213,Aug2026!M3:M100,$B213)+SUMIFS(Sep2026!K3:K100,Sep2026!L3:L100,$A213,Sep2026!M3:M100,$B213)+SUMIFS(Oct2026!K3:K100,Oct2026!L3:L100,$A213,Oct2026!M3:M100,$B213)+SUMIFS(Nov2026!K3:K100,Nov2026!L3:L100,$A213,Nov2026!M3:M100,$B213)+SUMIFS(Dec2026!K3:K100,Dec2026!L3:L100,$A213,Dec2026!M3:M100,$B213)</f>
        <v/>
      </c>
    </row>
    <row r="214">
      <c r="A214" t="inlineStr">
        <is>
          <t>Office</t>
        </is>
      </c>
      <c r="B214" t="inlineStr">
        <is>
          <t>Computer &amp; Laptop Purchases</t>
        </is>
      </c>
      <c r="C214" s="8">
        <f>SUMIFS(Jan2026!K3:K100,Jan2026!L3:L100,$A214,Jan2026!M3:M100,$B214)+SUMIFS(Feb2026!K3:K100,Feb2026!L3:L100,$A214,Feb2026!M3:M100,$B214)+SUMIFS(Mar2026!K3:K100,Mar2026!L3:L100,$A214,Mar2026!M3:M100,$B214)+SUMIFS(Apr2026!K3:K100,Apr2026!L3:L100,$A214,Apr2026!M3:M100,$B214)+SUMIFS(May2026!K3:K100,May2026!L3:L100,$A214,May2026!M3:M100,$B214)+SUMIFS(Jun2026!K3:K100,Jun2026!L3:L100,$A214,Jun2026!M3:M100,$B214)+SUMIFS(Jul2026!K3:K100,Jul2026!L3:L100,$A214,Jul2026!M3:M100,$B214)+SUMIFS(Aug2026!K3:K100,Aug2026!L3:L100,$A214,Aug2026!M3:M100,$B214)+SUMIFS(Sep2026!K3:K100,Sep2026!L3:L100,$A214,Sep2026!M3:M100,$B214)+SUMIFS(Oct2026!K3:K100,Oct2026!L3:L100,$A214,Oct2026!M3:M100,$B214)+SUMIFS(Nov2026!K3:K100,Nov2026!L3:L100,$A214,Nov2026!M3:M100,$B214)+SUMIFS(Dec2026!K3:K100,Dec2026!L3:L100,$A214,Dec2026!M3:M100,$B214)</f>
        <v/>
      </c>
    </row>
    <row r="215">
      <c r="A215" t="inlineStr">
        <is>
          <t>Office</t>
        </is>
      </c>
      <c r="B215" t="inlineStr">
        <is>
          <t>Computer Repairs &amp; Maintenance</t>
        </is>
      </c>
      <c r="C215" s="8">
        <f>SUMIFS(Jan2026!K3:K100,Jan2026!L3:L100,$A215,Jan2026!M3:M100,$B215)+SUMIFS(Feb2026!K3:K100,Feb2026!L3:L100,$A215,Feb2026!M3:M100,$B215)+SUMIFS(Mar2026!K3:K100,Mar2026!L3:L100,$A215,Mar2026!M3:M100,$B215)+SUMIFS(Apr2026!K3:K100,Apr2026!L3:L100,$A215,Apr2026!M3:M100,$B215)+SUMIFS(May2026!K3:K100,May2026!L3:L100,$A215,May2026!M3:M100,$B215)+SUMIFS(Jun2026!K3:K100,Jun2026!L3:L100,$A215,Jun2026!M3:M100,$B215)+SUMIFS(Jul2026!K3:K100,Jul2026!L3:L100,$A215,Jul2026!M3:M100,$B215)+SUMIFS(Aug2026!K3:K100,Aug2026!L3:L100,$A215,Aug2026!M3:M100,$B215)+SUMIFS(Sep2026!K3:K100,Sep2026!L3:L100,$A215,Sep2026!M3:M100,$B215)+SUMIFS(Oct2026!K3:K100,Oct2026!L3:L100,$A215,Oct2026!M3:M100,$B215)+SUMIFS(Nov2026!K3:K100,Nov2026!L3:L100,$A215,Nov2026!M3:M100,$B215)+SUMIFS(Dec2026!K3:K100,Dec2026!L3:L100,$A215,Dec2026!M3:M100,$B215)</f>
        <v/>
      </c>
    </row>
    <row r="216">
      <c r="A216" t="inlineStr">
        <is>
          <t>Office</t>
        </is>
      </c>
      <c r="B216" t="inlineStr">
        <is>
          <t>Software &amp; License Subscriptions</t>
        </is>
      </c>
      <c r="C216" s="8">
        <f>SUMIFS(Jan2026!K3:K100,Jan2026!L3:L100,$A216,Jan2026!M3:M100,$B216)+SUMIFS(Feb2026!K3:K100,Feb2026!L3:L100,$A216,Feb2026!M3:M100,$B216)+SUMIFS(Mar2026!K3:K100,Mar2026!L3:L100,$A216,Mar2026!M3:M100,$B216)+SUMIFS(Apr2026!K3:K100,Apr2026!L3:L100,$A216,Apr2026!M3:M100,$B216)+SUMIFS(May2026!K3:K100,May2026!L3:L100,$A216,May2026!M3:M100,$B216)+SUMIFS(Jun2026!K3:K100,Jun2026!L3:L100,$A216,Jun2026!M3:M100,$B216)+SUMIFS(Jul2026!K3:K100,Jul2026!L3:L100,$A216,Jul2026!M3:M100,$B216)+SUMIFS(Aug2026!K3:K100,Aug2026!L3:L100,$A216,Aug2026!M3:M100,$B216)+SUMIFS(Sep2026!K3:K100,Sep2026!L3:L100,$A216,Sep2026!M3:M100,$B216)+SUMIFS(Oct2026!K3:K100,Oct2026!L3:L100,$A216,Oct2026!M3:M100,$B216)+SUMIFS(Nov2026!K3:K100,Nov2026!L3:L100,$A216,Nov2026!M3:M100,$B216)+SUMIFS(Dec2026!K3:K100,Dec2026!L3:L100,$A216,Dec2026!M3:M100,$B216)</f>
        <v/>
      </c>
    </row>
    <row r="217">
      <c r="A217" t="inlineStr">
        <is>
          <t>Office</t>
        </is>
      </c>
      <c r="B217" t="inlineStr">
        <is>
          <t>CCTV &amp; Security System</t>
        </is>
      </c>
      <c r="C217" s="8">
        <f>SUMIFS(Jan2026!K3:K100,Jan2026!L3:L100,$A217,Jan2026!M3:M100,$B217)+SUMIFS(Feb2026!K3:K100,Feb2026!L3:L100,$A217,Feb2026!M3:M100,$B217)+SUMIFS(Mar2026!K3:K100,Mar2026!L3:L100,$A217,Mar2026!M3:M100,$B217)+SUMIFS(Apr2026!K3:K100,Apr2026!L3:L100,$A217,Apr2026!M3:M100,$B217)+SUMIFS(May2026!K3:K100,May2026!L3:L100,$A217,May2026!M3:M100,$B217)+SUMIFS(Jun2026!K3:K100,Jun2026!L3:L100,$A217,Jun2026!M3:M100,$B217)+SUMIFS(Jul2026!K3:K100,Jul2026!L3:L100,$A217,Jul2026!M3:M100,$B217)+SUMIFS(Aug2026!K3:K100,Aug2026!L3:L100,$A217,Aug2026!M3:M100,$B217)+SUMIFS(Sep2026!K3:K100,Sep2026!L3:L100,$A217,Sep2026!M3:M100,$B217)+SUMIFS(Oct2026!K3:K100,Oct2026!L3:L100,$A217,Oct2026!M3:M100,$B217)+SUMIFS(Nov2026!K3:K100,Nov2026!L3:L100,$A217,Nov2026!M3:M100,$B217)+SUMIFS(Dec2026!K3:K100,Dec2026!L3:L100,$A217,Dec2026!M3:M100,$B217)</f>
        <v/>
      </c>
    </row>
    <row r="218">
      <c r="A218" t="inlineStr">
        <is>
          <t>Office</t>
        </is>
      </c>
      <c r="B218" t="inlineStr">
        <is>
          <t>Air Conditioner Service &amp; Repairs</t>
        </is>
      </c>
      <c r="C218" s="8">
        <f>SUMIFS(Jan2026!K3:K100,Jan2026!L3:L100,$A218,Jan2026!M3:M100,$B218)+SUMIFS(Feb2026!K3:K100,Feb2026!L3:L100,$A218,Feb2026!M3:M100,$B218)+SUMIFS(Mar2026!K3:K100,Mar2026!L3:L100,$A218,Mar2026!M3:M100,$B218)+SUMIFS(Apr2026!K3:K100,Apr2026!L3:L100,$A218,Apr2026!M3:M100,$B218)+SUMIFS(May2026!K3:K100,May2026!L3:L100,$A218,May2026!M3:M100,$B218)+SUMIFS(Jun2026!K3:K100,Jun2026!L3:L100,$A218,Jun2026!M3:M100,$B218)+SUMIFS(Jul2026!K3:K100,Jul2026!L3:L100,$A218,Jul2026!M3:M100,$B218)+SUMIFS(Aug2026!K3:K100,Aug2026!L3:L100,$A218,Aug2026!M3:M100,$B218)+SUMIFS(Sep2026!K3:K100,Sep2026!L3:L100,$A218,Sep2026!M3:M100,$B218)+SUMIFS(Oct2026!K3:K100,Oct2026!L3:L100,$A218,Oct2026!M3:M100,$B218)+SUMIFS(Nov2026!K3:K100,Nov2026!L3:L100,$A218,Nov2026!M3:M100,$B218)+SUMIFS(Dec2026!K3:K100,Dec2026!L3:L100,$A218,Dec2026!M3:M100,$B218)</f>
        <v/>
      </c>
    </row>
    <row r="219">
      <c r="A219" t="inlineStr">
        <is>
          <t>Office</t>
        </is>
      </c>
      <c r="B219" t="inlineStr">
        <is>
          <t>Generator Fuel &amp; Maintenance</t>
        </is>
      </c>
      <c r="C219" s="8">
        <f>SUMIFS(Jan2026!K3:K100,Jan2026!L3:L100,$A219,Jan2026!M3:M100,$B219)+SUMIFS(Feb2026!K3:K100,Feb2026!L3:L100,$A219,Feb2026!M3:M100,$B219)+SUMIFS(Mar2026!K3:K100,Mar2026!L3:L100,$A219,Mar2026!M3:M100,$B219)+SUMIFS(Apr2026!K3:K100,Apr2026!L3:L100,$A219,Apr2026!M3:M100,$B219)+SUMIFS(May2026!K3:K100,May2026!L3:L100,$A219,May2026!M3:M100,$B219)+SUMIFS(Jun2026!K3:K100,Jun2026!L3:L100,$A219,Jun2026!M3:M100,$B219)+SUMIFS(Jul2026!K3:K100,Jul2026!L3:L100,$A219,Jul2026!M3:M100,$B219)+SUMIFS(Aug2026!K3:K100,Aug2026!L3:L100,$A219,Aug2026!M3:M100,$B219)+SUMIFS(Sep2026!K3:K100,Sep2026!L3:L100,$A219,Sep2026!M3:M100,$B219)+SUMIFS(Oct2026!K3:K100,Oct2026!L3:L100,$A219,Oct2026!M3:M100,$B219)+SUMIFS(Nov2026!K3:K100,Nov2026!L3:L100,$A219,Nov2026!M3:M100,$B219)+SUMIFS(Dec2026!K3:K100,Dec2026!L3:L100,$A219,Dec2026!M3:M100,$B219)</f>
        <v/>
      </c>
    </row>
    <row r="220">
      <c r="A220" t="inlineStr">
        <is>
          <t>Office</t>
        </is>
      </c>
      <c r="B220" t="inlineStr">
        <is>
          <t>Office Repairs &amp; Renovation</t>
        </is>
      </c>
      <c r="C220" s="8">
        <f>SUMIFS(Jan2026!K3:K100,Jan2026!L3:L100,$A220,Jan2026!M3:M100,$B220)+SUMIFS(Feb2026!K3:K100,Feb2026!L3:L100,$A220,Feb2026!M3:M100,$B220)+SUMIFS(Mar2026!K3:K100,Mar2026!L3:L100,$A220,Mar2026!M3:M100,$B220)+SUMIFS(Apr2026!K3:K100,Apr2026!L3:L100,$A220,Apr2026!M3:M100,$B220)+SUMIFS(May2026!K3:K100,May2026!L3:L100,$A220,May2026!M3:M100,$B220)+SUMIFS(Jun2026!K3:K100,Jun2026!L3:L100,$A220,Jun2026!M3:M100,$B220)+SUMIFS(Jul2026!K3:K100,Jul2026!L3:L100,$A220,Jul2026!M3:M100,$B220)+SUMIFS(Aug2026!K3:K100,Aug2026!L3:L100,$A220,Aug2026!M3:M100,$B220)+SUMIFS(Sep2026!K3:K100,Sep2026!L3:L100,$A220,Sep2026!M3:M100,$B220)+SUMIFS(Oct2026!K3:K100,Oct2026!L3:L100,$A220,Oct2026!M3:M100,$B220)+SUMIFS(Nov2026!K3:K100,Nov2026!L3:L100,$A220,Nov2026!M3:M100,$B220)+SUMIFS(Dec2026!K3:K100,Dec2026!L3:L100,$A220,Dec2026!M3:M100,$B220)</f>
        <v/>
      </c>
    </row>
    <row r="221">
      <c r="A221" t="inlineStr">
        <is>
          <t>Office</t>
        </is>
      </c>
      <c r="B221" t="inlineStr">
        <is>
          <t>Courier &amp; Postal Charges</t>
        </is>
      </c>
      <c r="C221" s="8">
        <f>SUMIFS(Jan2026!K3:K100,Jan2026!L3:L100,$A221,Jan2026!M3:M100,$B221)+SUMIFS(Feb2026!K3:K100,Feb2026!L3:L100,$A221,Feb2026!M3:M100,$B221)+SUMIFS(Mar2026!K3:K100,Mar2026!L3:L100,$A221,Mar2026!M3:M100,$B221)+SUMIFS(Apr2026!K3:K100,Apr2026!L3:L100,$A221,Apr2026!M3:M100,$B221)+SUMIFS(May2026!K3:K100,May2026!L3:L100,$A221,May2026!M3:M100,$B221)+SUMIFS(Jun2026!K3:K100,Jun2026!L3:L100,$A221,Jun2026!M3:M100,$B221)+SUMIFS(Jul2026!K3:K100,Jul2026!L3:L100,$A221,Jul2026!M3:M100,$B221)+SUMIFS(Aug2026!K3:K100,Aug2026!L3:L100,$A221,Aug2026!M3:M100,$B221)+SUMIFS(Sep2026!K3:K100,Sep2026!L3:L100,$A221,Sep2026!M3:M100,$B221)+SUMIFS(Oct2026!K3:K100,Oct2026!L3:L100,$A221,Oct2026!M3:M100,$B221)+SUMIFS(Nov2026!K3:K100,Nov2026!L3:L100,$A221,Nov2026!M3:M100,$B221)+SUMIFS(Dec2026!K3:K100,Dec2026!L3:L100,$A221,Dec2026!M3:M100,$B221)</f>
        <v/>
      </c>
    </row>
    <row r="222">
      <c r="A222" t="inlineStr">
        <is>
          <t>Office</t>
        </is>
      </c>
      <c r="B222" t="inlineStr">
        <is>
          <t>Bank Charges</t>
        </is>
      </c>
      <c r="C222" s="8">
        <f>SUMIFS(Jan2026!K3:K100,Jan2026!L3:L100,$A222,Jan2026!M3:M100,$B222)+SUMIFS(Feb2026!K3:K100,Feb2026!L3:L100,$A222,Feb2026!M3:M100,$B222)+SUMIFS(Mar2026!K3:K100,Mar2026!L3:L100,$A222,Mar2026!M3:M100,$B222)+SUMIFS(Apr2026!K3:K100,Apr2026!L3:L100,$A222,Apr2026!M3:M100,$B222)+SUMIFS(May2026!K3:K100,May2026!L3:L100,$A222,May2026!M3:M100,$B222)+SUMIFS(Jun2026!K3:K100,Jun2026!L3:L100,$A222,Jun2026!M3:M100,$B222)+SUMIFS(Jul2026!K3:K100,Jul2026!L3:L100,$A222,Jul2026!M3:M100,$B222)+SUMIFS(Aug2026!K3:K100,Aug2026!L3:L100,$A222,Aug2026!M3:M100,$B222)+SUMIFS(Sep2026!K3:K100,Sep2026!L3:L100,$A222,Sep2026!M3:M100,$B222)+SUMIFS(Oct2026!K3:K100,Oct2026!L3:L100,$A222,Oct2026!M3:M100,$B222)+SUMIFS(Nov2026!K3:K100,Nov2026!L3:L100,$A222,Nov2026!M3:M100,$B222)+SUMIFS(Dec2026!K3:K100,Dec2026!L3:L100,$A222,Dec2026!M3:M100,$B222)</f>
        <v/>
      </c>
    </row>
    <row r="223">
      <c r="A223" t="inlineStr">
        <is>
          <t>Office</t>
        </is>
      </c>
      <c r="B223" t="inlineStr">
        <is>
          <t>Accounting &amp; Audit Fees</t>
        </is>
      </c>
      <c r="C223" s="8">
        <f>SUMIFS(Jan2026!K3:K100,Jan2026!L3:L100,$A223,Jan2026!M3:M100,$B223)+SUMIFS(Feb2026!K3:K100,Feb2026!L3:L100,$A223,Feb2026!M3:M100,$B223)+SUMIFS(Mar2026!K3:K100,Mar2026!L3:L100,$A223,Mar2026!M3:M100,$B223)+SUMIFS(Apr2026!K3:K100,Apr2026!L3:L100,$A223,Apr2026!M3:M100,$B223)+SUMIFS(May2026!K3:K100,May2026!L3:L100,$A223,May2026!M3:M100,$B223)+SUMIFS(Jun2026!K3:K100,Jun2026!L3:L100,$A223,Jun2026!M3:M100,$B223)+SUMIFS(Jul2026!K3:K100,Jul2026!L3:L100,$A223,Jul2026!M3:M100,$B223)+SUMIFS(Aug2026!K3:K100,Aug2026!L3:L100,$A223,Aug2026!M3:M100,$B223)+SUMIFS(Sep2026!K3:K100,Sep2026!L3:L100,$A223,Sep2026!M3:M100,$B223)+SUMIFS(Oct2026!K3:K100,Oct2026!L3:L100,$A223,Oct2026!M3:M100,$B223)+SUMIFS(Nov2026!K3:K100,Nov2026!L3:L100,$A223,Nov2026!M3:M100,$B223)+SUMIFS(Dec2026!K3:K100,Dec2026!L3:L100,$A223,Dec2026!M3:M100,$B223)</f>
        <v/>
      </c>
    </row>
    <row r="224">
      <c r="A224" t="inlineStr">
        <is>
          <t>Office</t>
        </is>
      </c>
      <c r="B224" t="inlineStr">
        <is>
          <t>Legal &amp; Professional Fees</t>
        </is>
      </c>
      <c r="C224" s="8">
        <f>SUMIFS(Jan2026!K3:K100,Jan2026!L3:L100,$A224,Jan2026!M3:M100,$B224)+SUMIFS(Feb2026!K3:K100,Feb2026!L3:L100,$A224,Feb2026!M3:M100,$B224)+SUMIFS(Mar2026!K3:K100,Mar2026!L3:L100,$A224,Mar2026!M3:M100,$B224)+SUMIFS(Apr2026!K3:K100,Apr2026!L3:L100,$A224,Apr2026!M3:M100,$B224)+SUMIFS(May2026!K3:K100,May2026!L3:L100,$A224,May2026!M3:M100,$B224)+SUMIFS(Jun2026!K3:K100,Jun2026!L3:L100,$A224,Jun2026!M3:M100,$B224)+SUMIFS(Jul2026!K3:K100,Jul2026!L3:L100,$A224,Jul2026!M3:M100,$B224)+SUMIFS(Aug2026!K3:K100,Aug2026!L3:L100,$A224,Aug2026!M3:M100,$B224)+SUMIFS(Sep2026!K3:K100,Sep2026!L3:L100,$A224,Sep2026!M3:M100,$B224)+SUMIFS(Oct2026!K3:K100,Oct2026!L3:L100,$A224,Oct2026!M3:M100,$B224)+SUMIFS(Nov2026!K3:K100,Nov2026!L3:L100,$A224,Nov2026!M3:M100,$B224)+SUMIFS(Dec2026!K3:K100,Dec2026!L3:L100,$A224,Dec2026!M3:M100,$B224)</f>
        <v/>
      </c>
    </row>
    <row r="225">
      <c r="A225" t="inlineStr">
        <is>
          <t>Office</t>
        </is>
      </c>
      <c r="B225" t="inlineStr">
        <is>
          <t>Employee Salaries</t>
        </is>
      </c>
      <c r="C225" s="8">
        <f>SUMIFS(Jan2026!K3:K100,Jan2026!L3:L100,$A225,Jan2026!M3:M100,$B225)+SUMIFS(Feb2026!K3:K100,Feb2026!L3:L100,$A225,Feb2026!M3:M100,$B225)+SUMIFS(Mar2026!K3:K100,Mar2026!L3:L100,$A225,Mar2026!M3:M100,$B225)+SUMIFS(Apr2026!K3:K100,Apr2026!L3:L100,$A225,Apr2026!M3:M100,$B225)+SUMIFS(May2026!K3:K100,May2026!L3:L100,$A225,May2026!M3:M100,$B225)+SUMIFS(Jun2026!K3:K100,Jun2026!L3:L100,$A225,Jun2026!M3:M100,$B225)+SUMIFS(Jul2026!K3:K100,Jul2026!L3:L100,$A225,Jul2026!M3:M100,$B225)+SUMIFS(Aug2026!K3:K100,Aug2026!L3:L100,$A225,Aug2026!M3:M100,$B225)+SUMIFS(Sep2026!K3:K100,Sep2026!L3:L100,$A225,Sep2026!M3:M100,$B225)+SUMIFS(Oct2026!K3:K100,Oct2026!L3:L100,$A225,Oct2026!M3:M100,$B225)+SUMIFS(Nov2026!K3:K100,Nov2026!L3:L100,$A225,Nov2026!M3:M100,$B225)+SUMIFS(Dec2026!K3:K100,Dec2026!L3:L100,$A225,Dec2026!M3:M100,$B225)</f>
        <v/>
      </c>
    </row>
    <row r="226">
      <c r="A226" t="inlineStr">
        <is>
          <t>Office</t>
        </is>
      </c>
      <c r="B226" t="inlineStr">
        <is>
          <t>Staff Welfare</t>
        </is>
      </c>
      <c r="C226" s="8">
        <f>SUMIFS(Jan2026!K3:K100,Jan2026!L3:L100,$A226,Jan2026!M3:M100,$B226)+SUMIFS(Feb2026!K3:K100,Feb2026!L3:L100,$A226,Feb2026!M3:M100,$B226)+SUMIFS(Mar2026!K3:K100,Mar2026!L3:L100,$A226,Mar2026!M3:M100,$B226)+SUMIFS(Apr2026!K3:K100,Apr2026!L3:L100,$A226,Apr2026!M3:M100,$B226)+SUMIFS(May2026!K3:K100,May2026!L3:L100,$A226,May2026!M3:M100,$B226)+SUMIFS(Jun2026!K3:K100,Jun2026!L3:L100,$A226,Jun2026!M3:M100,$B226)+SUMIFS(Jul2026!K3:K100,Jul2026!L3:L100,$A226,Jul2026!M3:M100,$B226)+SUMIFS(Aug2026!K3:K100,Aug2026!L3:L100,$A226,Aug2026!M3:M100,$B226)+SUMIFS(Sep2026!K3:K100,Sep2026!L3:L100,$A226,Sep2026!M3:M100,$B226)+SUMIFS(Oct2026!K3:K100,Oct2026!L3:L100,$A226,Oct2026!M3:M100,$B226)+SUMIFS(Nov2026!K3:K100,Nov2026!L3:L100,$A226,Nov2026!M3:M100,$B226)+SUMIFS(Dec2026!K3:K100,Dec2026!L3:L100,$A226,Dec2026!M3:M100,$B226)</f>
        <v/>
      </c>
    </row>
    <row r="227">
      <c r="A227" t="inlineStr">
        <is>
          <t>Office</t>
        </is>
      </c>
      <c r="B227" t="inlineStr">
        <is>
          <t>Travel &amp; Conveyance</t>
        </is>
      </c>
      <c r="C227" s="8">
        <f>SUMIFS(Jan2026!K3:K100,Jan2026!L3:L100,$A227,Jan2026!M3:M100,$B227)+SUMIFS(Feb2026!K3:K100,Feb2026!L3:L100,$A227,Feb2026!M3:M100,$B227)+SUMIFS(Mar2026!K3:K100,Mar2026!L3:L100,$A227,Mar2026!M3:M100,$B227)+SUMIFS(Apr2026!K3:K100,Apr2026!L3:L100,$A227,Apr2026!M3:M100,$B227)+SUMIFS(May2026!K3:K100,May2026!L3:L100,$A227,May2026!M3:M100,$B227)+SUMIFS(Jun2026!K3:K100,Jun2026!L3:L100,$A227,Jun2026!M3:M100,$B227)+SUMIFS(Jul2026!K3:K100,Jul2026!L3:L100,$A227,Jul2026!M3:M100,$B227)+SUMIFS(Aug2026!K3:K100,Aug2026!L3:L100,$A227,Aug2026!M3:M100,$B227)+SUMIFS(Sep2026!K3:K100,Sep2026!L3:L100,$A227,Sep2026!M3:M100,$B227)+SUMIFS(Oct2026!K3:K100,Oct2026!L3:L100,$A227,Oct2026!M3:M100,$B227)+SUMIFS(Nov2026!K3:K100,Nov2026!L3:L100,$A227,Nov2026!M3:M100,$B227)+SUMIFS(Dec2026!K3:K100,Dec2026!L3:L100,$A227,Dec2026!M3:M100,$B227)</f>
        <v/>
      </c>
    </row>
    <row r="228">
      <c r="A228" t="inlineStr">
        <is>
          <t>Office</t>
        </is>
      </c>
      <c r="B228" t="inlineStr">
        <is>
          <t>Fuel Reimbursement</t>
        </is>
      </c>
      <c r="C228" s="8">
        <f>SUMIFS(Jan2026!K3:K100,Jan2026!L3:L100,$A228,Jan2026!M3:M100,$B228)+SUMIFS(Feb2026!K3:K100,Feb2026!L3:L100,$A228,Feb2026!M3:M100,$B228)+SUMIFS(Mar2026!K3:K100,Mar2026!L3:L100,$A228,Mar2026!M3:M100,$B228)+SUMIFS(Apr2026!K3:K100,Apr2026!L3:L100,$A228,Apr2026!M3:M100,$B228)+SUMIFS(May2026!K3:K100,May2026!L3:L100,$A228,May2026!M3:M100,$B228)+SUMIFS(Jun2026!K3:K100,Jun2026!L3:L100,$A228,Jun2026!M3:M100,$B228)+SUMIFS(Jul2026!K3:K100,Jul2026!L3:L100,$A228,Jul2026!M3:M100,$B228)+SUMIFS(Aug2026!K3:K100,Aug2026!L3:L100,$A228,Aug2026!M3:M100,$B228)+SUMIFS(Sep2026!K3:K100,Sep2026!L3:L100,$A228,Sep2026!M3:M100,$B228)+SUMIFS(Oct2026!K3:K100,Oct2026!L3:L100,$A228,Oct2026!M3:M100,$B228)+SUMIFS(Nov2026!K3:K100,Nov2026!L3:L100,$A228,Nov2026!M3:M100,$B228)+SUMIFS(Dec2026!K3:K100,Dec2026!L3:L100,$A228,Dec2026!M3:M100,$B228)</f>
        <v/>
      </c>
    </row>
    <row r="229">
      <c r="A229" t="inlineStr">
        <is>
          <t>Office</t>
        </is>
      </c>
      <c r="B229" t="inlineStr">
        <is>
          <t>Vehicle Maintenance</t>
        </is>
      </c>
      <c r="C229" s="8">
        <f>SUMIFS(Jan2026!K3:K100,Jan2026!L3:L100,$A229,Jan2026!M3:M100,$B229)+SUMIFS(Feb2026!K3:K100,Feb2026!L3:L100,$A229,Feb2026!M3:M100,$B229)+SUMIFS(Mar2026!K3:K100,Mar2026!L3:L100,$A229,Mar2026!M3:M100,$B229)+SUMIFS(Apr2026!K3:K100,Apr2026!L3:L100,$A229,Apr2026!M3:M100,$B229)+SUMIFS(May2026!K3:K100,May2026!L3:L100,$A229,May2026!M3:M100,$B229)+SUMIFS(Jun2026!K3:K100,Jun2026!L3:L100,$A229,Jun2026!M3:M100,$B229)+SUMIFS(Jul2026!K3:K100,Jul2026!L3:L100,$A229,Jul2026!M3:M100,$B229)+SUMIFS(Aug2026!K3:K100,Aug2026!L3:L100,$A229,Aug2026!M3:M100,$B229)+SUMIFS(Sep2026!K3:K100,Sep2026!L3:L100,$A229,Sep2026!M3:M100,$B229)+SUMIFS(Oct2026!K3:K100,Oct2026!L3:L100,$A229,Oct2026!M3:M100,$B229)+SUMIFS(Nov2026!K3:K100,Nov2026!L3:L100,$A229,Nov2026!M3:M100,$B229)+SUMIFS(Dec2026!K3:K100,Dec2026!L3:L100,$A229,Dec2026!M3:M100,$B229)</f>
        <v/>
      </c>
    </row>
    <row r="230">
      <c r="A230" t="inlineStr">
        <is>
          <t>Office</t>
        </is>
      </c>
      <c r="B230" t="inlineStr">
        <is>
          <t>Meeting &amp; Client Hospitality</t>
        </is>
      </c>
      <c r="C230" s="8">
        <f>SUMIFS(Jan2026!K3:K100,Jan2026!L3:L100,$A230,Jan2026!M3:M100,$B230)+SUMIFS(Feb2026!K3:K100,Feb2026!L3:L100,$A230,Feb2026!M3:M100,$B230)+SUMIFS(Mar2026!K3:K100,Mar2026!L3:L100,$A230,Mar2026!M3:M100,$B230)+SUMIFS(Apr2026!K3:K100,Apr2026!L3:L100,$A230,Apr2026!M3:M100,$B230)+SUMIFS(May2026!K3:K100,May2026!L3:L100,$A230,May2026!M3:M100,$B230)+SUMIFS(Jun2026!K3:K100,Jun2026!L3:L100,$A230,Jun2026!M3:M100,$B230)+SUMIFS(Jul2026!K3:K100,Jul2026!L3:L100,$A230,Jul2026!M3:M100,$B230)+SUMIFS(Aug2026!K3:K100,Aug2026!L3:L100,$A230,Aug2026!M3:M100,$B230)+SUMIFS(Sep2026!K3:K100,Sep2026!L3:L100,$A230,Sep2026!M3:M100,$B230)+SUMIFS(Oct2026!K3:K100,Oct2026!L3:L100,$A230,Oct2026!M3:M100,$B230)+SUMIFS(Nov2026!K3:K100,Nov2026!L3:L100,$A230,Nov2026!M3:M100,$B230)+SUMIFS(Dec2026!K3:K100,Dec2026!L3:L100,$A230,Dec2026!M3:M100,$B230)</f>
        <v/>
      </c>
    </row>
    <row r="231">
      <c r="A231" t="inlineStr">
        <is>
          <t>Office</t>
        </is>
      </c>
      <c r="B231" t="inlineStr">
        <is>
          <t>Marketing &amp; Advertising</t>
        </is>
      </c>
      <c r="C231" s="8">
        <f>SUMIFS(Jan2026!K3:K100,Jan2026!L3:L100,$A231,Jan2026!M3:M100,$B231)+SUMIFS(Feb2026!K3:K100,Feb2026!L3:L100,$A231,Feb2026!M3:M100,$B231)+SUMIFS(Mar2026!K3:K100,Mar2026!L3:L100,$A231,Mar2026!M3:M100,$B231)+SUMIFS(Apr2026!K3:K100,Apr2026!L3:L100,$A231,Apr2026!M3:M100,$B231)+SUMIFS(May2026!K3:K100,May2026!L3:L100,$A231,May2026!M3:M100,$B231)+SUMIFS(Jun2026!K3:K100,Jun2026!L3:L100,$A231,Jun2026!M3:M100,$B231)+SUMIFS(Jul2026!K3:K100,Jul2026!L3:L100,$A231,Jul2026!M3:M100,$B231)+SUMIFS(Aug2026!K3:K100,Aug2026!L3:L100,$A231,Aug2026!M3:M100,$B231)+SUMIFS(Sep2026!K3:K100,Sep2026!L3:L100,$A231,Sep2026!M3:M100,$B231)+SUMIFS(Oct2026!K3:K100,Oct2026!L3:L100,$A231,Oct2026!M3:M100,$B231)+SUMIFS(Nov2026!K3:K100,Nov2026!L3:L100,$A231,Nov2026!M3:M100,$B231)+SUMIFS(Dec2026!K3:K100,Dec2026!L3:L100,$A231,Dec2026!M3:M100,$B231)</f>
        <v/>
      </c>
    </row>
    <row r="232">
      <c r="A232" t="inlineStr">
        <is>
          <t>Office</t>
        </is>
      </c>
      <c r="B232" t="inlineStr">
        <is>
          <t>Website &amp; Domain Expenses</t>
        </is>
      </c>
      <c r="C232" s="8">
        <f>SUMIFS(Jan2026!K3:K100,Jan2026!L3:L100,$A232,Jan2026!M3:M100,$B232)+SUMIFS(Feb2026!K3:K100,Feb2026!L3:L100,$A232,Feb2026!M3:M100,$B232)+SUMIFS(Mar2026!K3:K100,Mar2026!L3:L100,$A232,Mar2026!M3:M100,$B232)+SUMIFS(Apr2026!K3:K100,Apr2026!L3:L100,$A232,Apr2026!M3:M100,$B232)+SUMIFS(May2026!K3:K100,May2026!L3:L100,$A232,May2026!M3:M100,$B232)+SUMIFS(Jun2026!K3:K100,Jun2026!L3:L100,$A232,Jun2026!M3:M100,$B232)+SUMIFS(Jul2026!K3:K100,Jul2026!L3:L100,$A232,Jul2026!M3:M100,$B232)+SUMIFS(Aug2026!K3:K100,Aug2026!L3:L100,$A232,Aug2026!M3:M100,$B232)+SUMIFS(Sep2026!K3:K100,Sep2026!L3:L100,$A232,Sep2026!M3:M100,$B232)+SUMIFS(Oct2026!K3:K100,Oct2026!L3:L100,$A232,Oct2026!M3:M100,$B232)+SUMIFS(Nov2026!K3:K100,Nov2026!L3:L100,$A232,Nov2026!M3:M100,$B232)+SUMIFS(Dec2026!K3:K100,Dec2026!L3:L100,$A232,Dec2026!M3:M100,$B232)</f>
        <v/>
      </c>
    </row>
    <row r="233">
      <c r="A233" t="inlineStr">
        <is>
          <t>Office</t>
        </is>
      </c>
      <c r="B233" t="inlineStr">
        <is>
          <t>Office Decorations</t>
        </is>
      </c>
      <c r="C233" s="8">
        <f>SUMIFS(Jan2026!K3:K100,Jan2026!L3:L100,$A233,Jan2026!M3:M100,$B233)+SUMIFS(Feb2026!K3:K100,Feb2026!L3:L100,$A233,Feb2026!M3:M100,$B233)+SUMIFS(Mar2026!K3:K100,Mar2026!L3:L100,$A233,Mar2026!M3:M100,$B233)+SUMIFS(Apr2026!K3:K100,Apr2026!L3:L100,$A233,Apr2026!M3:M100,$B233)+SUMIFS(May2026!K3:K100,May2026!L3:L100,$A233,May2026!M3:M100,$B233)+SUMIFS(Jun2026!K3:K100,Jun2026!L3:L100,$A233,Jun2026!M3:M100,$B233)+SUMIFS(Jul2026!K3:K100,Jul2026!L3:L100,$A233,Jul2026!M3:M100,$B233)+SUMIFS(Aug2026!K3:K100,Aug2026!L3:L100,$A233,Aug2026!M3:M100,$B233)+SUMIFS(Sep2026!K3:K100,Sep2026!L3:L100,$A233,Sep2026!M3:M100,$B233)+SUMIFS(Oct2026!K3:K100,Oct2026!L3:L100,$A233,Oct2026!M3:M100,$B233)+SUMIFS(Nov2026!K3:K100,Nov2026!L3:L100,$A233,Nov2026!M3:M100,$B233)+SUMIFS(Dec2026!K3:K100,Dec2026!L3:L100,$A233,Dec2026!M3:M100,$B233)</f>
        <v/>
      </c>
    </row>
    <row r="234">
      <c r="A234" t="inlineStr">
        <is>
          <t>Office</t>
        </is>
      </c>
      <c r="B234" t="inlineStr">
        <is>
          <t>Pest Control</t>
        </is>
      </c>
      <c r="C234" s="8">
        <f>SUMIFS(Jan2026!K3:K100,Jan2026!L3:L100,$A234,Jan2026!M3:M100,$B234)+SUMIFS(Feb2026!K3:K100,Feb2026!L3:L100,$A234,Feb2026!M3:M100,$B234)+SUMIFS(Mar2026!K3:K100,Mar2026!L3:L100,$A234,Mar2026!M3:M100,$B234)+SUMIFS(Apr2026!K3:K100,Apr2026!L3:L100,$A234,Apr2026!M3:M100,$B234)+SUMIFS(May2026!K3:K100,May2026!L3:L100,$A234,May2026!M3:M100,$B234)+SUMIFS(Jun2026!K3:K100,Jun2026!L3:L100,$A234,Jun2026!M3:M100,$B234)+SUMIFS(Jul2026!K3:K100,Jul2026!L3:L100,$A234,Jul2026!M3:M100,$B234)+SUMIFS(Aug2026!K3:K100,Aug2026!L3:L100,$A234,Aug2026!M3:M100,$B234)+SUMIFS(Sep2026!K3:K100,Sep2026!L3:L100,$A234,Sep2026!M3:M100,$B234)+SUMIFS(Oct2026!K3:K100,Oct2026!L3:L100,$A234,Oct2026!M3:M100,$B234)+SUMIFS(Nov2026!K3:K100,Nov2026!L3:L100,$A234,Nov2026!M3:M100,$B234)+SUMIFS(Dec2026!K3:K100,Dec2026!L3:L100,$A234,Dec2026!M3:M100,$B234)</f>
        <v/>
      </c>
    </row>
    <row r="235">
      <c r="A235" t="inlineStr">
        <is>
          <t>Office</t>
        </is>
      </c>
      <c r="B235" t="inlineStr">
        <is>
          <t>Garbage Disposal</t>
        </is>
      </c>
      <c r="C235" s="8">
        <f>SUMIFS(Jan2026!K3:K100,Jan2026!L3:L100,$A235,Jan2026!M3:M100,$B235)+SUMIFS(Feb2026!K3:K100,Feb2026!L3:L100,$A235,Feb2026!M3:M100,$B235)+SUMIFS(Mar2026!K3:K100,Mar2026!L3:L100,$A235,Mar2026!M3:M100,$B235)+SUMIFS(Apr2026!K3:K100,Apr2026!L3:L100,$A235,Apr2026!M3:M100,$B235)+SUMIFS(May2026!K3:K100,May2026!L3:L100,$A235,May2026!M3:M100,$B235)+SUMIFS(Jun2026!K3:K100,Jun2026!L3:L100,$A235,Jun2026!M3:M100,$B235)+SUMIFS(Jul2026!K3:K100,Jul2026!L3:L100,$A235,Jul2026!M3:M100,$B235)+SUMIFS(Aug2026!K3:K100,Aug2026!L3:L100,$A235,Aug2026!M3:M100,$B235)+SUMIFS(Sep2026!K3:K100,Sep2026!L3:L100,$A235,Sep2026!M3:M100,$B235)+SUMIFS(Oct2026!K3:K100,Oct2026!L3:L100,$A235,Oct2026!M3:M100,$B235)+SUMIFS(Nov2026!K3:K100,Nov2026!L3:L100,$A235,Nov2026!M3:M100,$B235)+SUMIFS(Dec2026!K3:K100,Dec2026!L3:L100,$A235,Dec2026!M3:M100,$B235)</f>
        <v/>
      </c>
    </row>
    <row r="236">
      <c r="A236" t="inlineStr">
        <is>
          <t>Office</t>
        </is>
      </c>
      <c r="B236" t="inlineStr">
        <is>
          <t>Insurance</t>
        </is>
      </c>
      <c r="C236" s="8">
        <f>SUMIFS(Jan2026!K3:K100,Jan2026!L3:L100,$A236,Jan2026!M3:M100,$B236)+SUMIFS(Feb2026!K3:K100,Feb2026!L3:L100,$A236,Feb2026!M3:M100,$B236)+SUMIFS(Mar2026!K3:K100,Mar2026!L3:L100,$A236,Mar2026!M3:M100,$B236)+SUMIFS(Apr2026!K3:K100,Apr2026!L3:L100,$A236,Apr2026!M3:M100,$B236)+SUMIFS(May2026!K3:K100,May2026!L3:L100,$A236,May2026!M3:M100,$B236)+SUMIFS(Jun2026!K3:K100,Jun2026!L3:L100,$A236,Jun2026!M3:M100,$B236)+SUMIFS(Jul2026!K3:K100,Jul2026!L3:L100,$A236,Jul2026!M3:M100,$B236)+SUMIFS(Aug2026!K3:K100,Aug2026!L3:L100,$A236,Aug2026!M3:M100,$B236)+SUMIFS(Sep2026!K3:K100,Sep2026!L3:L100,$A236,Sep2026!M3:M100,$B236)+SUMIFS(Oct2026!K3:K100,Oct2026!L3:L100,$A236,Oct2026!M3:M100,$B236)+SUMIFS(Nov2026!K3:K100,Nov2026!L3:L100,$A236,Nov2026!M3:M100,$B236)+SUMIFS(Dec2026!K3:K100,Dec2026!L3:L100,$A236,Dec2026!M3:M100,$B236)</f>
        <v/>
      </c>
    </row>
    <row r="237">
      <c r="A237" t="inlineStr">
        <is>
          <t>Office</t>
        </is>
      </c>
      <c r="B237" t="inlineStr">
        <is>
          <t>Taxes &amp; Government Fees</t>
        </is>
      </c>
      <c r="C237" s="8">
        <f>SUMIFS(Jan2026!K3:K100,Jan2026!L3:L100,$A237,Jan2026!M3:M100,$B237)+SUMIFS(Feb2026!K3:K100,Feb2026!L3:L100,$A237,Feb2026!M3:M100,$B237)+SUMIFS(Mar2026!K3:K100,Mar2026!L3:L100,$A237,Mar2026!M3:M100,$B237)+SUMIFS(Apr2026!K3:K100,Apr2026!L3:L100,$A237,Apr2026!M3:M100,$B237)+SUMIFS(May2026!K3:K100,May2026!L3:L100,$A237,May2026!M3:M100,$B237)+SUMIFS(Jun2026!K3:K100,Jun2026!L3:L100,$A237,Jun2026!M3:M100,$B237)+SUMIFS(Jul2026!K3:K100,Jul2026!L3:L100,$A237,Jul2026!M3:M100,$B237)+SUMIFS(Aug2026!K3:K100,Aug2026!L3:L100,$A237,Aug2026!M3:M100,$B237)+SUMIFS(Sep2026!K3:K100,Sep2026!L3:L100,$A237,Sep2026!M3:M100,$B237)+SUMIFS(Oct2026!K3:K100,Oct2026!L3:L100,$A237,Oct2026!M3:M100,$B237)+SUMIFS(Nov2026!K3:K100,Nov2026!L3:L100,$A237,Nov2026!M3:M100,$B237)+SUMIFS(Dec2026!K3:K100,Dec2026!L3:L100,$A237,Dec2026!M3:M100,$B237)</f>
        <v/>
      </c>
    </row>
    <row r="238">
      <c r="A238" t="inlineStr">
        <is>
          <t>Office</t>
        </is>
      </c>
      <c r="B238" t="inlineStr">
        <is>
          <t>Miscellaneous Office Expenses</t>
        </is>
      </c>
      <c r="C238" s="8">
        <f>SUMIFS(Jan2026!K3:K100,Jan2026!L3:L100,$A238,Jan2026!M3:M100,$B238)+SUMIFS(Feb2026!K3:K100,Feb2026!L3:L100,$A238,Feb2026!M3:M100,$B238)+SUMIFS(Mar2026!K3:K100,Mar2026!L3:L100,$A238,Mar2026!M3:M100,$B238)+SUMIFS(Apr2026!K3:K100,Apr2026!L3:L100,$A238,Apr2026!M3:M100,$B238)+SUMIFS(May2026!K3:K100,May2026!L3:L100,$A238,May2026!M3:M100,$B238)+SUMIFS(Jun2026!K3:K100,Jun2026!L3:L100,$A238,Jun2026!M3:M100,$B238)+SUMIFS(Jul2026!K3:K100,Jul2026!L3:L100,$A238,Jul2026!M3:M100,$B238)+SUMIFS(Aug2026!K3:K100,Aug2026!L3:L100,$A238,Aug2026!M3:M100,$B238)+SUMIFS(Sep2026!K3:K100,Sep2026!L3:L100,$A238,Sep2026!M3:M100,$B238)+SUMIFS(Oct2026!K3:K100,Oct2026!L3:L100,$A238,Oct2026!M3:M100,$B238)+SUMIFS(Nov2026!K3:K100,Nov2026!L3:L100,$A238,Nov2026!M3:M100,$B238)+SUMIFS(Dec2026!K3:K100,Dec2026!L3:L100,$A238,Dec2026!M3:M100,$B238)</f>
        <v/>
      </c>
    </row>
    <row r="239">
      <c r="A239" t="inlineStr">
        <is>
          <t>Salaries</t>
        </is>
      </c>
      <c r="B239" t="inlineStr">
        <is>
          <t>Site Salaries</t>
        </is>
      </c>
      <c r="C239" s="8">
        <f>SUMIFS(Jan2026!K3:K100,Jan2026!L3:L100,$A239,Jan2026!M3:M100,$B239)+SUMIFS(Feb2026!K3:K100,Feb2026!L3:L100,$A239,Feb2026!M3:M100,$B239)+SUMIFS(Mar2026!K3:K100,Mar2026!L3:L100,$A239,Mar2026!M3:M100,$B239)+SUMIFS(Apr2026!K3:K100,Apr2026!L3:L100,$A239,Apr2026!M3:M100,$B239)+SUMIFS(May2026!K3:K100,May2026!L3:L100,$A239,May2026!M3:M100,$B239)+SUMIFS(Jun2026!K3:K100,Jun2026!L3:L100,$A239,Jun2026!M3:M100,$B239)+SUMIFS(Jul2026!K3:K100,Jul2026!L3:L100,$A239,Jul2026!M3:M100,$B239)+SUMIFS(Aug2026!K3:K100,Aug2026!L3:L100,$A239,Aug2026!M3:M100,$B239)+SUMIFS(Sep2026!K3:K100,Sep2026!L3:L100,$A239,Sep2026!M3:M100,$B239)+SUMIFS(Oct2026!K3:K100,Oct2026!L3:L100,$A239,Oct2026!M3:M100,$B239)+SUMIFS(Nov2026!K3:K100,Nov2026!L3:L100,$A239,Nov2026!M3:M100,$B239)+SUMIFS(Dec2026!K3:K100,Dec2026!L3:L100,$A239,Dec2026!M3:M100,$B239)</f>
        <v/>
      </c>
    </row>
    <row r="240">
      <c r="A240" t="inlineStr">
        <is>
          <t>Salaries</t>
        </is>
      </c>
      <c r="B240" t="inlineStr">
        <is>
          <t>Office Salaries</t>
        </is>
      </c>
      <c r="C240" s="8">
        <f>SUMIFS(Jan2026!K3:K100,Jan2026!L3:L100,$A240,Jan2026!M3:M100,$B240)+SUMIFS(Feb2026!K3:K100,Feb2026!L3:L100,$A240,Feb2026!M3:M100,$B240)+SUMIFS(Mar2026!K3:K100,Mar2026!L3:L100,$A240,Mar2026!M3:M100,$B240)+SUMIFS(Apr2026!K3:K100,Apr2026!L3:L100,$A240,Apr2026!M3:M100,$B240)+SUMIFS(May2026!K3:K100,May2026!L3:L100,$A240,May2026!M3:M100,$B240)+SUMIFS(Jun2026!K3:K100,Jun2026!L3:L100,$A240,Jun2026!M3:M100,$B240)+SUMIFS(Jul2026!K3:K100,Jul2026!L3:L100,$A240,Jul2026!M3:M100,$B240)+SUMIFS(Aug2026!K3:K100,Aug2026!L3:L100,$A240,Aug2026!M3:M100,$B240)+SUMIFS(Sep2026!K3:K100,Sep2026!L3:L100,$A240,Sep2026!M3:M100,$B240)+SUMIFS(Oct2026!K3:K100,Oct2026!L3:L100,$A240,Oct2026!M3:M100,$B240)+SUMIFS(Nov2026!K3:K100,Nov2026!L3:L100,$A240,Nov2026!M3:M100,$B240)+SUMIFS(Dec2026!K3:K100,Dec2026!L3:L100,$A240,Dec2026!M3:M100,$B240)</f>
        <v/>
      </c>
    </row>
  </sheetData>
  <pageMargins left="0.75" right="0.75" top="1" bottom="1" header="0.5" footer="0.5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106"/>
  <sheetViews>
    <sheetView topLeftCell="C1" zoomScale="120" zoomScaleNormal="120" workbookViewId="0">
      <selection activeCell="D11" sqref="D1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9" t="n">
        <v>46204</v>
      </c>
      <c r="C3" t="inlineStr">
        <is>
          <t>RK</t>
        </is>
      </c>
      <c r="D3" t="n">
        <v>500</v>
      </c>
      <c r="E3" t="inlineStr">
        <is>
          <t>Investor Capital</t>
        </is>
      </c>
      <c r="F3" t="inlineStr">
        <is>
          <t>Cash</t>
        </is>
      </c>
      <c r="I3" s="9" t="n">
        <v>46204</v>
      </c>
      <c r="J3" t="inlineStr">
        <is>
          <t>Comound wall</t>
        </is>
      </c>
      <c r="K3" t="n">
        <v>10</v>
      </c>
      <c r="L3" t="inlineStr">
        <is>
          <t>Site Development</t>
        </is>
      </c>
      <c r="M3" t="inlineStr">
        <is>
          <t>Compound Wall</t>
        </is>
      </c>
      <c r="N3" t="inlineStr">
        <is>
          <t>Cash</t>
        </is>
      </c>
    </row>
    <row r="4">
      <c r="A4" t="n">
        <v>2</v>
      </c>
      <c r="B4" s="9" t="n"/>
      <c r="C4" t="inlineStr">
        <is>
          <t>Ls</t>
        </is>
      </c>
      <c r="D4" t="n">
        <v>100</v>
      </c>
      <c r="E4" t="inlineStr">
        <is>
          <t>Investor Capital</t>
        </is>
      </c>
      <c r="F4" t="inlineStr">
        <is>
          <t>Cash</t>
        </is>
      </c>
      <c r="I4" s="9" t="n">
        <v>46204</v>
      </c>
      <c r="J4" t="inlineStr">
        <is>
          <t>borewell</t>
        </is>
      </c>
      <c r="K4" t="n">
        <v>12</v>
      </c>
      <c r="L4" t="inlineStr">
        <is>
          <t>Utilities</t>
        </is>
      </c>
      <c r="M4" t="inlineStr">
        <is>
          <t>Borewell</t>
        </is>
      </c>
      <c r="N4" t="inlineStr">
        <is>
          <t>Cash</t>
        </is>
      </c>
    </row>
    <row r="5">
      <c r="A5" t="n">
        <v>3</v>
      </c>
      <c r="C5" t="inlineStr">
        <is>
          <t>Sandeep</t>
        </is>
      </c>
      <c r="D5" t="n">
        <v>100</v>
      </c>
      <c r="E5" t="inlineStr">
        <is>
          <t>Investor Capital</t>
        </is>
      </c>
      <c r="F5" t="inlineStr">
        <is>
          <t>Cash</t>
        </is>
      </c>
      <c r="I5" s="9" t="n"/>
      <c r="J5" t="inlineStr">
        <is>
          <t>tress</t>
        </is>
      </c>
      <c r="K5" t="n">
        <v>13</v>
      </c>
      <c r="L5" t="inlineStr">
        <is>
          <t>Landscaping</t>
        </is>
      </c>
      <c r="M5" t="inlineStr">
        <is>
          <t>Lawn Development</t>
        </is>
      </c>
      <c r="N5" t="inlineStr">
        <is>
          <t>Cash</t>
        </is>
      </c>
    </row>
    <row r="6">
      <c r="A6" t="n">
        <v>4</v>
      </c>
      <c r="C6" t="inlineStr">
        <is>
          <t>Sudhakr</t>
        </is>
      </c>
      <c r="D6" t="n">
        <v>50</v>
      </c>
      <c r="E6" t="inlineStr">
        <is>
          <t>Investor Capital</t>
        </is>
      </c>
      <c r="F6" t="inlineStr">
        <is>
          <t>Bank</t>
        </is>
      </c>
      <c r="J6" t="inlineStr">
        <is>
          <t>drip</t>
        </is>
      </c>
      <c r="K6" t="n">
        <v>15</v>
      </c>
      <c r="L6" t="inlineStr">
        <is>
          <t>Landscaping</t>
        </is>
      </c>
      <c r="M6" t="inlineStr">
        <is>
          <t>Irrigation/Drip System</t>
        </is>
      </c>
      <c r="N6" t="inlineStr">
        <is>
          <t>Cash</t>
        </is>
      </c>
    </row>
    <row r="7">
      <c r="A7" t="n">
        <v>5</v>
      </c>
      <c r="D7" t="n">
        <v>40</v>
      </c>
      <c r="E7" t="inlineStr">
        <is>
          <t>Sales</t>
        </is>
      </c>
      <c r="F7" t="inlineStr">
        <is>
          <t>Cash</t>
        </is>
      </c>
      <c r="J7" t="inlineStr">
        <is>
          <t>jcb</t>
        </is>
      </c>
      <c r="K7" t="n">
        <v>20</v>
      </c>
      <c r="L7" t="inlineStr">
        <is>
          <t>Labour &amp; Contractors</t>
        </is>
      </c>
      <c r="M7" t="inlineStr">
        <is>
          <t>Excavator/JCB</t>
        </is>
      </c>
      <c r="N7" t="inlineStr">
        <is>
          <t>Cash</t>
        </is>
      </c>
    </row>
    <row r="8">
      <c r="A8" t="n">
        <v>6</v>
      </c>
      <c r="D8" t="n">
        <v>30</v>
      </c>
      <c r="E8" t="inlineStr">
        <is>
          <t>Loan Received</t>
        </is>
      </c>
      <c r="F8" t="inlineStr">
        <is>
          <t>Bank</t>
        </is>
      </c>
      <c r="J8" t="inlineStr">
        <is>
          <t>land</t>
        </is>
      </c>
      <c r="K8" t="n">
        <v>169</v>
      </c>
      <c r="L8" t="inlineStr">
        <is>
          <t>Site Development</t>
        </is>
      </c>
      <c r="M8" t="inlineStr">
        <is>
          <t>Land Purchase</t>
        </is>
      </c>
      <c r="N8" t="inlineStr">
        <is>
          <t>Cash</t>
        </is>
      </c>
    </row>
    <row r="9">
      <c r="A9" t="n">
        <v>7</v>
      </c>
      <c r="D9" t="n">
        <v>50</v>
      </c>
      <c r="E9" t="inlineStr">
        <is>
          <t>Sales</t>
        </is>
      </c>
      <c r="F9" t="inlineStr">
        <is>
          <t>Cash</t>
        </is>
      </c>
      <c r="J9" t="inlineStr">
        <is>
          <t>land</t>
        </is>
      </c>
      <c r="K9" t="n">
        <v>20</v>
      </c>
      <c r="L9" t="inlineStr">
        <is>
          <t>Land &amp; Legal</t>
        </is>
      </c>
      <c r="M9" t="inlineStr">
        <is>
          <t>Land Purchase</t>
        </is>
      </c>
      <c r="N9" t="inlineStr">
        <is>
          <t>Bank</t>
        </is>
      </c>
    </row>
    <row r="10">
      <c r="A10" t="n">
        <v>8</v>
      </c>
      <c r="D10" t="n">
        <v>50</v>
      </c>
      <c r="E10" t="inlineStr">
        <is>
          <t>Sales</t>
        </is>
      </c>
      <c r="F10" t="inlineStr">
        <is>
          <t>Cash</t>
        </is>
      </c>
      <c r="J10" t="inlineStr">
        <is>
          <t>suman</t>
        </is>
      </c>
      <c r="K10" t="n">
        <v>50</v>
      </c>
      <c r="L10" t="inlineStr">
        <is>
          <t>Salaries</t>
        </is>
      </c>
      <c r="M10" t="inlineStr">
        <is>
          <t>Site Salaries</t>
        </is>
      </c>
      <c r="N10" t="inlineStr">
        <is>
          <t>Bank</t>
        </is>
      </c>
    </row>
    <row r="11">
      <c r="A11" t="n">
        <v>9</v>
      </c>
      <c r="J11" t="inlineStr">
        <is>
          <t>anil</t>
        </is>
      </c>
      <c r="K11" t="n">
        <v>30</v>
      </c>
      <c r="L11" t="inlineStr">
        <is>
          <t>Salaries</t>
        </is>
      </c>
      <c r="M11" t="inlineStr">
        <is>
          <t>Office Salaries</t>
        </is>
      </c>
      <c r="N11" t="inlineStr">
        <is>
          <t>Bank</t>
        </is>
      </c>
    </row>
    <row r="12">
      <c r="A12" t="n">
        <v>10</v>
      </c>
      <c r="J12" t="inlineStr">
        <is>
          <t>meet</t>
        </is>
      </c>
      <c r="K12" t="n">
        <v>60</v>
      </c>
      <c r="L12" t="inlineStr">
        <is>
          <t>Office</t>
        </is>
      </c>
      <c r="M12" t="inlineStr">
        <is>
          <t>Meeting &amp; Client Hospitality</t>
        </is>
      </c>
      <c r="N12" t="inlineStr">
        <is>
          <t>Cash</t>
        </is>
      </c>
    </row>
    <row r="13">
      <c r="A13" t="n">
        <v>11</v>
      </c>
      <c r="J13" t="inlineStr">
        <is>
          <t>office</t>
        </is>
      </c>
      <c r="K13" t="n">
        <v>50</v>
      </c>
      <c r="L13" t="inlineStr">
        <is>
          <t>Office</t>
        </is>
      </c>
      <c r="M13" t="inlineStr">
        <is>
          <t>Office Rent</t>
        </is>
      </c>
      <c r="N13" t="inlineStr">
        <is>
          <t>Bank</t>
        </is>
      </c>
    </row>
    <row r="14">
      <c r="A14" t="n">
        <v>12</v>
      </c>
    </row>
    <row r="15">
      <c r="A15" t="n">
        <v>13</v>
      </c>
    </row>
    <row r="16">
      <c r="A16" t="n">
        <v>14</v>
      </c>
    </row>
    <row r="17">
      <c r="A17" t="n">
        <v>15</v>
      </c>
    </row>
    <row r="18">
      <c r="A18" t="n">
        <v>16</v>
      </c>
    </row>
    <row r="19">
      <c r="A19" t="n">
        <v>17</v>
      </c>
    </row>
    <row r="20">
      <c r="A20" t="n">
        <v>18</v>
      </c>
    </row>
    <row r="21">
      <c r="A21" t="n">
        <v>19</v>
      </c>
    </row>
    <row r="22">
      <c r="A22" t="n">
        <v>20</v>
      </c>
    </row>
    <row r="23">
      <c r="A23" t="n">
        <v>21</v>
      </c>
    </row>
    <row r="24">
      <c r="A24" t="n">
        <v>22</v>
      </c>
    </row>
    <row r="25">
      <c r="A25" t="n">
        <v>23</v>
      </c>
    </row>
    <row r="26">
      <c r="A26" t="n">
        <v>24</v>
      </c>
    </row>
    <row r="27">
      <c r="A27" t="n">
        <v>25</v>
      </c>
    </row>
    <row r="28">
      <c r="A28" t="n">
        <v>26</v>
      </c>
    </row>
    <row r="29">
      <c r="A29" t="n">
        <v>27</v>
      </c>
    </row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 t="n">
        <v>0</v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04"/>
  <sheetViews>
    <sheetView workbookViewId="0">
      <selection activeCell="M7" sqref="M7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D3" t="n">
        <v>20</v>
      </c>
      <c r="E3" t="inlineStr">
        <is>
          <t>Sales</t>
        </is>
      </c>
      <c r="F3" t="inlineStr">
        <is>
          <t>Cash</t>
        </is>
      </c>
      <c r="K3" t="n">
        <v>20</v>
      </c>
      <c r="L3" t="inlineStr">
        <is>
          <t>Land &amp; Legal</t>
        </is>
      </c>
      <c r="M3" t="inlineStr">
        <is>
          <t>Registration Charges</t>
        </is>
      </c>
      <c r="N3" t="inlineStr">
        <is>
          <t>Cash</t>
        </is>
      </c>
    </row>
    <row r="4">
      <c r="D4" t="n">
        <v>40</v>
      </c>
      <c r="E4" t="inlineStr">
        <is>
          <t>Loan Received</t>
        </is>
      </c>
      <c r="F4" t="inlineStr">
        <is>
          <t>Cash</t>
        </is>
      </c>
      <c r="K4" t="n">
        <v>20</v>
      </c>
      <c r="L4" t="inlineStr">
        <is>
          <t>Buildings &amp; Amenities</t>
        </is>
      </c>
      <c r="M4" t="inlineStr">
        <is>
          <t>Toilets</t>
        </is>
      </c>
      <c r="N4" t="inlineStr">
        <is>
          <t>Bank</t>
        </is>
      </c>
    </row>
    <row r="5">
      <c r="D5" t="n">
        <v>50</v>
      </c>
      <c r="E5" t="inlineStr">
        <is>
          <t>Investor Capital</t>
        </is>
      </c>
      <c r="F5" t="inlineStr">
        <is>
          <t>Cash</t>
        </is>
      </c>
      <c r="K5" t="n">
        <v>10</v>
      </c>
      <c r="L5" t="inlineStr">
        <is>
          <t>Materials</t>
        </is>
      </c>
      <c r="M5" t="inlineStr">
        <is>
          <t>Sand</t>
        </is>
      </c>
      <c r="N5" t="inlineStr">
        <is>
          <t>Cash</t>
        </is>
      </c>
    </row>
    <row r="6">
      <c r="D6" t="n">
        <v>20</v>
      </c>
      <c r="E6" t="inlineStr">
        <is>
          <t>Investor Capital</t>
        </is>
      </c>
      <c r="F6" t="inlineStr">
        <is>
          <t>Cash</t>
        </is>
      </c>
      <c r="K6" t="n">
        <v>20</v>
      </c>
      <c r="L6" t="inlineStr">
        <is>
          <t>Operations</t>
        </is>
      </c>
      <c r="M6" t="inlineStr">
        <is>
          <t>Fuel &amp; Diesel</t>
        </is>
      </c>
      <c r="N6" t="inlineStr">
        <is>
          <t>Bank</t>
        </is>
      </c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 ht="16" customHeight="1">
      <c r="A100" s="1" t="inlineStr">
        <is>
          <t>Summary</t>
        </is>
      </c>
    </row>
    <row r="101">
      <c r="A101" s="6" t="inlineStr">
        <is>
          <t>Opening Balance</t>
        </is>
      </c>
      <c r="B101" s="7">
        <f>'Jan2026'!B106</f>
        <v/>
      </c>
    </row>
    <row r="102">
      <c r="A102" s="6" t="inlineStr">
        <is>
          <t>Total Receipts</t>
        </is>
      </c>
      <c r="B102" s="7">
        <f>SUM(D3:D98)</f>
        <v/>
      </c>
    </row>
    <row r="103">
      <c r="A103" s="6" t="inlineStr">
        <is>
          <t>Total Payments</t>
        </is>
      </c>
      <c r="B103" s="7">
        <f>SUM(K3:K98)</f>
        <v/>
      </c>
    </row>
    <row r="104">
      <c r="A104" s="6" t="inlineStr">
        <is>
          <t>Net / Closing Balance</t>
        </is>
      </c>
      <c r="B104" s="7">
        <f>B101+B102-B103</f>
        <v/>
      </c>
    </row>
  </sheetData>
  <dataValidations count="4">
    <dataValidation sqref="M3:M98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8 N3:N98" showDropDown="0" showInputMessage="0" showErrorMessage="0" allowBlank="1" type="list">
      <formula1>"Bank,Cash"</formula1>
    </dataValidation>
    <dataValidation sqref="E3:E98" showDropDown="0" showInputMessage="0" showErrorMessage="0" allowBlank="1" type="list">
      <formula1>INDIRECT("IncomeCategories")</formula1>
    </dataValidation>
    <dataValidation sqref="L3:L98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103"/>
  <sheetViews>
    <sheetView workbookViewId="0">
      <selection activeCell="A3" sqref="A3:XFD5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 ht="16" customHeight="1">
      <c r="A99" s="1" t="inlineStr">
        <is>
          <t>Summary</t>
        </is>
      </c>
    </row>
    <row r="100">
      <c r="A100" s="6" t="inlineStr">
        <is>
          <t>Opening Balance</t>
        </is>
      </c>
      <c r="B100" s="7">
        <f>'Feb2026'!B104</f>
        <v/>
      </c>
    </row>
    <row r="101">
      <c r="A101" s="6" t="inlineStr">
        <is>
          <t>Total Receipts</t>
        </is>
      </c>
      <c r="B101" s="7">
        <f>SUM(D3:D97)</f>
        <v/>
      </c>
    </row>
    <row r="102">
      <c r="A102" s="6" t="inlineStr">
        <is>
          <t>Total Payments</t>
        </is>
      </c>
      <c r="B102" s="7">
        <f>SUM(K3:K97)</f>
        <v/>
      </c>
    </row>
    <row r="103">
      <c r="A103" s="6" t="inlineStr">
        <is>
          <t>Net / Closing Balance</t>
        </is>
      </c>
      <c r="B103" s="7">
        <f>B100+B101-B102</f>
        <v/>
      </c>
    </row>
  </sheetData>
  <dataValidations count="4">
    <dataValidation sqref="M3:M97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7 N3:N97" showDropDown="0" showInputMessage="0" showErrorMessage="0" allowBlank="1" type="list">
      <formula1>"Bank,Cash"</formula1>
    </dataValidation>
    <dataValidation sqref="E3:E97" showDropDown="0" showInputMessage="0" showErrorMessage="0" allowBlank="1" type="list">
      <formula1>INDIRECT("IncomeCategories")</formula1>
    </dataValidation>
    <dataValidation sqref="L3:L97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104"/>
  <sheetViews>
    <sheetView workbookViewId="0">
      <selection activeCell="A3" sqref="A3:XFD4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 ht="16" customHeight="1">
      <c r="A100" s="1" t="inlineStr">
        <is>
          <t>Summary</t>
        </is>
      </c>
    </row>
    <row r="101">
      <c r="A101" s="6" t="inlineStr">
        <is>
          <t>Opening Balance</t>
        </is>
      </c>
      <c r="B101" s="7">
        <f>'Mar2026'!B103</f>
        <v/>
      </c>
    </row>
    <row r="102">
      <c r="A102" s="6" t="inlineStr">
        <is>
          <t>Total Receipts</t>
        </is>
      </c>
      <c r="B102" s="7">
        <f>SUM(D3:D98)</f>
        <v/>
      </c>
    </row>
    <row r="103">
      <c r="A103" s="6" t="inlineStr">
        <is>
          <t>Total Payments</t>
        </is>
      </c>
      <c r="B103" s="7">
        <f>SUM(K3:K98)</f>
        <v/>
      </c>
    </row>
    <row r="104">
      <c r="A104" s="6" t="inlineStr">
        <is>
          <t>Net / Closing Balance</t>
        </is>
      </c>
      <c r="B104" s="7">
        <f>B101+B102-B103</f>
        <v/>
      </c>
    </row>
  </sheetData>
  <dataValidations count="4">
    <dataValidation sqref="M3:M98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8 N3:N98" showDropDown="0" showInputMessage="0" showErrorMessage="0" allowBlank="1" type="list">
      <formula1>"Bank,Cash"</formula1>
    </dataValidation>
    <dataValidation sqref="E3:E98" showDropDown="0" showInputMessage="0" showErrorMessage="0" allowBlank="1" type="list">
      <formula1>INDIRECT("IncomeCategories")</formula1>
    </dataValidation>
    <dataValidation sqref="L3:L98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05"/>
  <sheetViews>
    <sheetView workbookViewId="0">
      <selection activeCell="A3" sqref="A3:XFD3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 ht="16" customHeight="1">
      <c r="A101" s="1" t="inlineStr">
        <is>
          <t>Summary</t>
        </is>
      </c>
    </row>
    <row r="102">
      <c r="A102" s="6" t="inlineStr">
        <is>
          <t>Opening Balance</t>
        </is>
      </c>
      <c r="B102" s="7">
        <f>'Apr2026'!B104</f>
        <v/>
      </c>
    </row>
    <row r="103">
      <c r="A103" s="6" t="inlineStr">
        <is>
          <t>Total Receipts</t>
        </is>
      </c>
      <c r="B103" s="7">
        <f>SUM(D3:D99)</f>
        <v/>
      </c>
    </row>
    <row r="104">
      <c r="A104" s="6" t="inlineStr">
        <is>
          <t>Total Payments</t>
        </is>
      </c>
      <c r="B104" s="7">
        <f>SUM(K3:K99)</f>
        <v/>
      </c>
    </row>
    <row r="105">
      <c r="A105" s="6" t="inlineStr">
        <is>
          <t>Net / Closing Balance</t>
        </is>
      </c>
      <c r="B105" s="7">
        <f>B102+B103-B104</f>
        <v/>
      </c>
    </row>
  </sheetData>
  <dataValidations count="4">
    <dataValidation sqref="M3:M99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9 N3:N99" showDropDown="0" showInputMessage="0" showErrorMessage="0" allowBlank="1" type="list">
      <formula1>"Bank,Cash"</formula1>
    </dataValidation>
    <dataValidation sqref="E3:E99" showDropDown="0" showInputMessage="0" showErrorMessage="0" allowBlank="1" type="list">
      <formula1>INDIRECT("IncomeCategories")</formula1>
    </dataValidation>
    <dataValidation sqref="L3:L99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'May2026'!B105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03"/>
  <sheetViews>
    <sheetView workbookViewId="0">
      <selection activeCell="B3" sqref="B3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/>
    </row>
    <row r="4">
      <c r="A4" t="n">
        <v>2</v>
      </c>
    </row>
    <row r="5">
      <c r="A5" t="n">
        <v>3</v>
      </c>
    </row>
    <row r="6">
      <c r="A6" t="n">
        <v>4</v>
      </c>
      <c r="B6" s="14" t="n"/>
    </row>
    <row r="7">
      <c r="A7" t="n">
        <v>5</v>
      </c>
    </row>
    <row r="8">
      <c r="A8" t="n">
        <v>6</v>
      </c>
    </row>
    <row r="9">
      <c r="A9" t="n">
        <v>7</v>
      </c>
    </row>
    <row r="10">
      <c r="A10" t="n">
        <v>8</v>
      </c>
    </row>
    <row r="11">
      <c r="A11" t="n">
        <v>9</v>
      </c>
    </row>
    <row r="12">
      <c r="A12" t="n">
        <v>10</v>
      </c>
    </row>
    <row r="13">
      <c r="A13" t="n">
        <v>11</v>
      </c>
    </row>
    <row r="14">
      <c r="A14" t="n">
        <v>12</v>
      </c>
    </row>
    <row r="15">
      <c r="A15" t="n">
        <v>13</v>
      </c>
    </row>
    <row r="16">
      <c r="A16" t="n">
        <v>14</v>
      </c>
    </row>
    <row r="17">
      <c r="A17" t="n">
        <v>15</v>
      </c>
    </row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 ht="16" customHeight="1">
      <c r="A99" s="1" t="inlineStr">
        <is>
          <t>Summary</t>
        </is>
      </c>
    </row>
    <row r="100">
      <c r="A100" s="6" t="inlineStr">
        <is>
          <t>Opening Balance</t>
        </is>
      </c>
      <c r="B100" s="7">
        <f>'Jun2026'!B106</f>
        <v/>
      </c>
    </row>
    <row r="101">
      <c r="A101" s="6" t="inlineStr">
        <is>
          <t>Total Receipts</t>
        </is>
      </c>
      <c r="B101" s="7">
        <f>SUM(D3:D97)</f>
        <v/>
      </c>
    </row>
    <row r="102">
      <c r="A102" s="6" t="inlineStr">
        <is>
          <t>Total Payments</t>
        </is>
      </c>
      <c r="B102" s="7">
        <f>SUM(K3:K97)</f>
        <v/>
      </c>
    </row>
    <row r="103">
      <c r="A103" s="6" t="inlineStr">
        <is>
          <t>Net / Closing Balance</t>
        </is>
      </c>
      <c r="B103" s="7">
        <f>B100+B101-B102</f>
        <v/>
      </c>
    </row>
  </sheetData>
  <dataValidations count="4">
    <dataValidation sqref="M3:M97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7 N3:N97" showDropDown="0" showInputMessage="0" showErrorMessage="0" allowBlank="1" type="list">
      <formula1>"Bank,Cash"</formula1>
    </dataValidation>
    <dataValidation sqref="E3:E97" showDropDown="0" showInputMessage="0" showErrorMessage="0" allowBlank="1" type="list">
      <formula1>INDIRECT("IncomeCategories")</formula1>
    </dataValidation>
    <dataValidation sqref="L3:L97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'Jul2026'!B103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'Aug2026'!B106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106"/>
  <sheetViews>
    <sheetView workbookViewId="0">
      <selection activeCell="B3" sqref="B3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'Sep2026'!B106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'Oct2026'!B106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'Nov2026'!B106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T76"/>
  <sheetViews>
    <sheetView tabSelected="1" topLeftCell="A45" zoomScale="125" workbookViewId="0">
      <selection activeCell="D63" sqref="D63"/>
    </sheetView>
  </sheetViews>
  <sheetFormatPr baseColWidth="10" defaultColWidth="8.83203125" defaultRowHeight="15"/>
  <cols>
    <col width="20" customWidth="1" min="1" max="1"/>
    <col width="22" customWidth="1" min="3" max="3"/>
    <col width="24" customWidth="1" min="4" max="4"/>
    <col width="22" customWidth="1" min="6" max="6"/>
    <col width="22" customWidth="1" min="8" max="17"/>
    <col width="27" bestFit="1" customWidth="1" min="18" max="18"/>
  </cols>
  <sheetData>
    <row r="1" ht="16" customHeight="1">
      <c r="A1" s="1" t="inlineStr">
        <is>
          <t>Income Categories</t>
        </is>
      </c>
      <c r="C1" s="1" t="inlineStr">
        <is>
          <t>Main Category / Sub-category Reference</t>
        </is>
      </c>
      <c r="F1" s="1" t="inlineStr">
        <is>
          <t>Unique Main Categories</t>
        </is>
      </c>
      <c r="H1" s="1" t="inlineStr">
        <is>
          <t>Sub-categories by Main Category</t>
        </is>
      </c>
    </row>
    <row r="2">
      <c r="A2" s="4" t="inlineStr">
        <is>
          <t>Income Categories</t>
        </is>
      </c>
      <c r="C2" s="4" t="inlineStr">
        <is>
          <t>Main Category</t>
        </is>
      </c>
      <c r="D2" s="4" t="inlineStr">
        <is>
          <t>Sub-category</t>
        </is>
      </c>
      <c r="F2" s="4" t="inlineStr">
        <is>
          <t>Unique Main Categories</t>
        </is>
      </c>
      <c r="H2" s="4" t="inlineStr">
        <is>
          <t>Land &amp; Legal</t>
        </is>
      </c>
      <c r="I2" s="4" t="inlineStr">
        <is>
          <t>Site Development</t>
        </is>
      </c>
      <c r="J2" s="4" t="inlineStr">
        <is>
          <t>Utilities</t>
        </is>
      </c>
      <c r="K2" s="4" t="inlineStr">
        <is>
          <t>Landscaping</t>
        </is>
      </c>
      <c r="L2" s="4" t="inlineStr">
        <is>
          <t>Buildings &amp; Amenities</t>
        </is>
      </c>
      <c r="M2" s="4" t="inlineStr">
        <is>
          <t>Labour &amp; Contractors</t>
        </is>
      </c>
      <c r="N2" s="4" t="inlineStr">
        <is>
          <t>Materials</t>
        </is>
      </c>
      <c r="O2" s="4" t="inlineStr">
        <is>
          <t>Operations</t>
        </is>
      </c>
      <c r="P2" s="4" t="inlineStr">
        <is>
          <t>Marketing &amp; Sales</t>
        </is>
      </c>
      <c r="Q2" s="4" t="inlineStr">
        <is>
          <t>Miscellaneous</t>
        </is>
      </c>
      <c r="R2" s="4" t="inlineStr">
        <is>
          <t>Office</t>
        </is>
      </c>
      <c r="S2" s="4" t="inlineStr">
        <is>
          <t>Salaries</t>
        </is>
      </c>
    </row>
    <row r="3">
      <c r="A3" s="5" t="inlineStr">
        <is>
          <t>Investor Capital</t>
        </is>
      </c>
      <c r="C3" s="5" t="inlineStr">
        <is>
          <t>Land &amp; Legal</t>
        </is>
      </c>
      <c r="D3" s="5" t="inlineStr">
        <is>
          <t>Land Purchase</t>
        </is>
      </c>
      <c r="F3" s="5" t="inlineStr">
        <is>
          <t>Land &amp; Legal</t>
        </is>
      </c>
      <c r="H3" s="5" t="inlineStr">
        <is>
          <t>Land Purchase</t>
        </is>
      </c>
      <c r="I3" s="5" t="inlineStr">
        <is>
          <t>Land Clearing</t>
        </is>
      </c>
      <c r="J3" s="5" t="inlineStr">
        <is>
          <t>Borewell</t>
        </is>
      </c>
      <c r="K3" s="5" t="inlineStr">
        <is>
          <t>Plantation</t>
        </is>
      </c>
      <c r="L3" s="5" t="inlineStr">
        <is>
          <t>Security Room</t>
        </is>
      </c>
      <c r="M3" s="5" t="inlineStr">
        <is>
          <t>Labour Wages</t>
        </is>
      </c>
      <c r="N3" t="inlineStr">
        <is>
          <t>Cement</t>
        </is>
      </c>
      <c r="O3" s="5" t="inlineStr">
        <is>
          <t>Security</t>
        </is>
      </c>
      <c r="P3" s="5" t="inlineStr">
        <is>
          <t>Advertisement</t>
        </is>
      </c>
      <c r="Q3" s="5" t="inlineStr">
        <is>
          <t>Travel Expenses</t>
        </is>
      </c>
      <c r="R3" t="inlineStr">
        <is>
          <t>Office Rent</t>
        </is>
      </c>
      <c r="S3" t="inlineStr">
        <is>
          <t>Site Salaries</t>
        </is>
      </c>
    </row>
    <row r="4">
      <c r="A4" s="5" t="inlineStr">
        <is>
          <t>Partner Contribution</t>
        </is>
      </c>
      <c r="C4" s="5" t="inlineStr">
        <is>
          <t>Land &amp; Legal</t>
        </is>
      </c>
      <c r="D4" s="5" t="inlineStr">
        <is>
          <t>Advance Payments</t>
        </is>
      </c>
      <c r="F4" s="5" t="inlineStr">
        <is>
          <t>Site Development</t>
        </is>
      </c>
      <c r="H4" s="5" t="inlineStr">
        <is>
          <t>Advance Payments</t>
        </is>
      </c>
      <c r="I4" s="5" t="inlineStr">
        <is>
          <t>Earthwork &amp; Levelling</t>
        </is>
      </c>
      <c r="J4" s="5" t="inlineStr">
        <is>
          <t>Water Pipelines</t>
        </is>
      </c>
      <c r="K4" s="5" t="inlineStr">
        <is>
          <t>Miyawaki Forest</t>
        </is>
      </c>
      <c r="L4" s="5" t="inlineStr">
        <is>
          <t>Site Office</t>
        </is>
      </c>
      <c r="M4" s="5" t="inlineStr">
        <is>
          <t>Contractor Payments</t>
        </is>
      </c>
      <c r="N4" t="inlineStr">
        <is>
          <t>Sand</t>
        </is>
      </c>
      <c r="O4" s="5" t="inlineStr">
        <is>
          <t>Housekeeping</t>
        </is>
      </c>
      <c r="P4" s="5" t="inlineStr">
        <is>
          <t>Flex Boards</t>
        </is>
      </c>
      <c r="Q4" s="5" t="inlineStr">
        <is>
          <t>Food &amp; Refreshments</t>
        </is>
      </c>
      <c r="R4" t="inlineStr">
        <is>
          <t>Electricity Bill</t>
        </is>
      </c>
      <c r="S4" t="inlineStr">
        <is>
          <t>Office Salaries</t>
        </is>
      </c>
    </row>
    <row r="5">
      <c r="A5" s="5" t="inlineStr">
        <is>
          <t>Loan Received</t>
        </is>
      </c>
      <c r="C5" s="5" t="inlineStr">
        <is>
          <t>Land &amp; Legal</t>
        </is>
      </c>
      <c r="D5" s="5" t="inlineStr">
        <is>
          <t>Registration Charges</t>
        </is>
      </c>
      <c r="F5" s="5" t="inlineStr">
        <is>
          <t>Utilities</t>
        </is>
      </c>
      <c r="H5" s="5" t="inlineStr">
        <is>
          <t>Registration Charges</t>
        </is>
      </c>
      <c r="I5" s="5" t="inlineStr">
        <is>
          <t>Road Formation</t>
        </is>
      </c>
      <c r="J5" s="5" t="inlineStr">
        <is>
          <t>Water Tank</t>
        </is>
      </c>
      <c r="K5" s="5" t="inlineStr">
        <is>
          <t>Lawn Development</t>
        </is>
      </c>
      <c r="L5" s="5" t="inlineStr">
        <is>
          <t>Clubhouse</t>
        </is>
      </c>
      <c r="M5" s="5" t="inlineStr">
        <is>
          <t>Machinery Hire</t>
        </is>
      </c>
      <c r="N5" t="inlineStr">
        <is>
          <t>M-Sand</t>
        </is>
      </c>
      <c r="O5" s="5" t="inlineStr">
        <is>
          <t>Fuel &amp; Diesel</t>
        </is>
      </c>
      <c r="P5" s="5" t="inlineStr">
        <is>
          <t>Brochures</t>
        </is>
      </c>
      <c r="Q5" s="5" t="inlineStr">
        <is>
          <t>Government Fees</t>
        </is>
      </c>
      <c r="R5" t="inlineStr">
        <is>
          <t>Internet &amp; Wi-Fi</t>
        </is>
      </c>
    </row>
    <row r="6">
      <c r="A6" s="5" t="inlineStr">
        <is>
          <t>Sales</t>
        </is>
      </c>
      <c r="C6" s="5" t="inlineStr">
        <is>
          <t>Land &amp; Legal</t>
        </is>
      </c>
      <c r="D6" s="5" t="inlineStr">
        <is>
          <t>Stamp Duty</t>
        </is>
      </c>
      <c r="F6" s="5" t="inlineStr">
        <is>
          <t>Landscaping</t>
        </is>
      </c>
      <c r="H6" s="5" t="inlineStr">
        <is>
          <t>Stamp Duty</t>
        </is>
      </c>
      <c r="I6" s="5" t="inlineStr">
        <is>
          <t>CC Roads</t>
        </is>
      </c>
      <c r="J6" s="5" t="inlineStr">
        <is>
          <t>Electricity Connection</t>
        </is>
      </c>
      <c r="K6" s="5" t="inlineStr">
        <is>
          <t>Irrigation/Drip System</t>
        </is>
      </c>
      <c r="L6" s="5" t="inlineStr">
        <is>
          <t>Swimming Pool</t>
        </is>
      </c>
      <c r="M6" s="5" t="inlineStr">
        <is>
          <t>Excavator/JCB</t>
        </is>
      </c>
      <c r="N6" t="inlineStr">
        <is>
          <t>P-Sand</t>
        </is>
      </c>
      <c r="O6" s="5" t="inlineStr">
        <is>
          <t>Vehicle Expenses</t>
        </is>
      </c>
      <c r="P6" s="5" t="inlineStr">
        <is>
          <t>Events</t>
        </is>
      </c>
      <c r="Q6" s="5" t="inlineStr">
        <is>
          <t>Miscellaneous Expenses</t>
        </is>
      </c>
      <c r="R6" t="inlineStr">
        <is>
          <t>Mobile Bills</t>
        </is>
      </c>
    </row>
    <row r="7">
      <c r="C7" s="5" t="inlineStr">
        <is>
          <t>Land &amp; Legal</t>
        </is>
      </c>
      <c r="D7" s="5" t="inlineStr">
        <is>
          <t>Legal Fees</t>
        </is>
      </c>
      <c r="F7" s="5" t="inlineStr">
        <is>
          <t>Buildings &amp; Amenities</t>
        </is>
      </c>
      <c r="H7" s="5" t="inlineStr">
        <is>
          <t>Legal Fees</t>
        </is>
      </c>
      <c r="I7" s="5" t="inlineStr">
        <is>
          <t>Interlocking Pavers</t>
        </is>
      </c>
      <c r="J7" s="5" t="inlineStr">
        <is>
          <t>Transformer</t>
        </is>
      </c>
      <c r="K7" s="5" t="inlineStr">
        <is>
          <t>Garden Maintenance</t>
        </is>
      </c>
      <c r="L7" s="5" t="inlineStr">
        <is>
          <t>Gazebo</t>
        </is>
      </c>
      <c r="M7" s="5" t="inlineStr">
        <is>
          <t>Tractor &amp; Transport</t>
        </is>
      </c>
      <c r="N7" t="inlineStr">
        <is>
          <t>Gravel (20mm)</t>
        </is>
      </c>
      <c r="O7" s="5" t="inlineStr">
        <is>
          <t>Repairs &amp; Maintenance</t>
        </is>
      </c>
      <c r="P7" s="5" t="inlineStr">
        <is>
          <t>Photography &amp; Drone</t>
        </is>
      </c>
      <c r="Q7" s="26" t="inlineStr">
        <is>
          <t>VIP Formalities</t>
        </is>
      </c>
      <c r="R7" t="inlineStr">
        <is>
          <t>Office Maintenance</t>
        </is>
      </c>
    </row>
    <row r="8">
      <c r="C8" s="5" t="inlineStr">
        <is>
          <t>Land &amp; Legal</t>
        </is>
      </c>
      <c r="D8" s="5" t="inlineStr">
        <is>
          <t>Survey Charges</t>
        </is>
      </c>
      <c r="F8" s="5" t="inlineStr">
        <is>
          <t>Labour &amp; Contractors</t>
        </is>
      </c>
      <c r="H8" s="5" t="inlineStr">
        <is>
          <t>Survey Charges</t>
        </is>
      </c>
      <c r="I8" s="5" t="inlineStr">
        <is>
          <t>Compound Wall</t>
        </is>
      </c>
      <c r="J8" s="5" t="inlineStr">
        <is>
          <t>Street Lights</t>
        </is>
      </c>
      <c r="K8" s="26" t="inlineStr">
        <is>
          <t>Avenue Plantation</t>
        </is>
      </c>
      <c r="L8" s="5" t="inlineStr">
        <is>
          <t>Children's Play Area</t>
        </is>
      </c>
      <c r="M8" s="26" t="inlineStr">
        <is>
          <t>NMR</t>
        </is>
      </c>
      <c r="N8" t="inlineStr">
        <is>
          <t>Gravel (40mm)</t>
        </is>
      </c>
      <c r="O8" s="26" t="inlineStr">
        <is>
          <t>Interest</t>
        </is>
      </c>
      <c r="P8" s="5" t="inlineStr">
        <is>
          <t>Digital Marketing</t>
        </is>
      </c>
      <c r="R8" t="inlineStr">
        <is>
          <t>Housekeeping &amp; Cleaning</t>
        </is>
      </c>
    </row>
    <row r="9">
      <c r="C9" s="5" t="inlineStr">
        <is>
          <t>Land &amp; Legal</t>
        </is>
      </c>
      <c r="D9" s="5" t="inlineStr">
        <is>
          <t>Documentation</t>
        </is>
      </c>
      <c r="F9" s="5" t="inlineStr">
        <is>
          <t>Materials</t>
        </is>
      </c>
      <c r="H9" s="5" t="inlineStr">
        <is>
          <t>Documentation</t>
        </is>
      </c>
      <c r="I9" s="5" t="inlineStr">
        <is>
          <t>Entrance Gate</t>
        </is>
      </c>
      <c r="J9" s="5" t="inlineStr">
        <is>
          <t>Generator</t>
        </is>
      </c>
      <c r="L9" s="5" t="inlineStr">
        <is>
          <t>Sports Courts</t>
        </is>
      </c>
      <c r="N9" t="inlineStr">
        <is>
          <t>Jelly Stones</t>
        </is>
      </c>
      <c r="R9" t="inlineStr">
        <is>
          <t>Drinking Water</t>
        </is>
      </c>
    </row>
    <row r="10">
      <c r="C10" s="5" t="inlineStr">
        <is>
          <t>Site Development</t>
        </is>
      </c>
      <c r="D10" s="5" t="inlineStr">
        <is>
          <t>Land Clearing</t>
        </is>
      </c>
      <c r="F10" s="5" t="inlineStr">
        <is>
          <t>Operations</t>
        </is>
      </c>
      <c r="I10" s="5" t="inlineStr">
        <is>
          <t>Drainage</t>
        </is>
      </c>
      <c r="L10" s="5" t="inlineStr">
        <is>
          <t>Toilets</t>
        </is>
      </c>
      <c r="N10" t="inlineStr">
        <is>
          <t>Bricks</t>
        </is>
      </c>
      <c r="R10" t="inlineStr">
        <is>
          <t>Tea, Coffee &amp; Pantry</t>
        </is>
      </c>
    </row>
    <row r="11">
      <c r="C11" s="5" t="inlineStr">
        <is>
          <t>Site Development</t>
        </is>
      </c>
      <c r="D11" s="5" t="inlineStr">
        <is>
          <t>Earthwork &amp; Levelling</t>
        </is>
      </c>
      <c r="F11" s="5" t="inlineStr">
        <is>
          <t>Marketing &amp; Sales</t>
        </is>
      </c>
      <c r="I11" s="5" t="inlineStr">
        <is>
          <t>Culverts</t>
        </is>
      </c>
      <c r="L11" s="26" t="inlineStr">
        <is>
          <t>Cottages</t>
        </is>
      </c>
      <c r="N11" t="inlineStr">
        <is>
          <t>Fly Ash Bricks</t>
        </is>
      </c>
      <c r="R11" t="inlineStr">
        <is>
          <t>Office Groceries</t>
        </is>
      </c>
    </row>
    <row r="12">
      <c r="C12" s="5" t="inlineStr">
        <is>
          <t>Site Development</t>
        </is>
      </c>
      <c r="D12" s="5" t="inlineStr">
        <is>
          <t>Road Formation</t>
        </is>
      </c>
      <c r="F12" s="5" t="inlineStr">
        <is>
          <t>Miscellaneous</t>
        </is>
      </c>
      <c r="I12" s="26" t="inlineStr">
        <is>
          <t>Fabrication</t>
        </is>
      </c>
      <c r="L12" s="26" t="inlineStr">
        <is>
          <t>Banquet Hall</t>
        </is>
      </c>
      <c r="N12" t="inlineStr">
        <is>
          <t>AAC Blocks</t>
        </is>
      </c>
      <c r="R12" t="inlineStr">
        <is>
          <t>Stationery &amp; Printing</t>
        </is>
      </c>
    </row>
    <row r="13">
      <c r="C13" s="5" t="inlineStr">
        <is>
          <t>Site Development</t>
        </is>
      </c>
      <c r="D13" s="5" t="inlineStr">
        <is>
          <t>Blacktop Roads</t>
        </is>
      </c>
      <c r="F13" s="26" t="inlineStr">
        <is>
          <t>Office</t>
        </is>
      </c>
      <c r="I13" s="26" t="inlineStr">
        <is>
          <t>Centring</t>
        </is>
      </c>
      <c r="L13" s="26" t="n"/>
      <c r="N13" t="inlineStr">
        <is>
          <t>Concrete Blocks</t>
        </is>
      </c>
      <c r="R13" t="inlineStr">
        <is>
          <t>Photocopy &amp; Scanning</t>
        </is>
      </c>
    </row>
    <row r="14">
      <c r="C14" s="5" t="inlineStr">
        <is>
          <t>Site Development</t>
        </is>
      </c>
      <c r="D14" s="5" t="inlineStr">
        <is>
          <t>Interlocking Pavers</t>
        </is>
      </c>
      <c r="F14" s="26" t="inlineStr">
        <is>
          <t>Salaries</t>
        </is>
      </c>
      <c r="I14" s="26" t="inlineStr">
        <is>
          <t>Stamped Concrete</t>
        </is>
      </c>
      <c r="N14" t="inlineStr">
        <is>
          <t>Steel (TMT Bars)</t>
        </is>
      </c>
      <c r="R14" t="inlineStr">
        <is>
          <t>Printer Ink &amp; Toner</t>
        </is>
      </c>
    </row>
    <row r="15">
      <c r="C15" s="5" t="inlineStr">
        <is>
          <t>Site Development</t>
        </is>
      </c>
      <c r="D15" s="5" t="inlineStr">
        <is>
          <t>Compound Wall</t>
        </is>
      </c>
      <c r="I15" s="26" t="inlineStr">
        <is>
          <t>Street Lamps</t>
        </is>
      </c>
      <c r="N15" t="inlineStr">
        <is>
          <t>Binding Wire</t>
        </is>
      </c>
      <c r="R15" t="inlineStr">
        <is>
          <t>Office Furniture</t>
        </is>
      </c>
    </row>
    <row r="16">
      <c r="C16" s="5" t="inlineStr">
        <is>
          <t>Site Development</t>
        </is>
      </c>
      <c r="D16" s="5" t="inlineStr">
        <is>
          <t>Entrance Gate</t>
        </is>
      </c>
      <c r="N16" t="inlineStr">
        <is>
          <t>Structural Steel</t>
        </is>
      </c>
      <c r="R16" t="inlineStr">
        <is>
          <t>Office Equipment</t>
        </is>
      </c>
    </row>
    <row r="17">
      <c r="C17" s="5" t="inlineStr">
        <is>
          <t>Site Development</t>
        </is>
      </c>
      <c r="D17" s="5" t="inlineStr">
        <is>
          <t>Drainage</t>
        </is>
      </c>
      <c r="N17" t="inlineStr">
        <is>
          <t>Ready Mix Concrete (RMC)</t>
        </is>
      </c>
      <c r="R17" t="inlineStr">
        <is>
          <t>Computer &amp; Laptop Purchases</t>
        </is>
      </c>
    </row>
    <row r="18">
      <c r="C18" s="5" t="inlineStr">
        <is>
          <t>Site Development</t>
        </is>
      </c>
      <c r="D18" s="5" t="inlineStr">
        <is>
          <t>Culverts</t>
        </is>
      </c>
      <c r="N18" t="inlineStr">
        <is>
          <t>Blue Metal</t>
        </is>
      </c>
      <c r="R18" t="inlineStr">
        <is>
          <t>Computer Repairs &amp; Maintenance</t>
        </is>
      </c>
    </row>
    <row r="19">
      <c r="C19" s="5" t="inlineStr">
        <is>
          <t>Site Development</t>
        </is>
      </c>
      <c r="D19" s="26" t="inlineStr">
        <is>
          <t>Fabrication</t>
        </is>
      </c>
      <c r="N19" t="inlineStr">
        <is>
          <t>Lime</t>
        </is>
      </c>
      <c r="R19" t="inlineStr">
        <is>
          <t>Software &amp; License Subscriptions</t>
        </is>
      </c>
    </row>
    <row r="20">
      <c r="C20" s="5" t="inlineStr">
        <is>
          <t>Site Development</t>
        </is>
      </c>
      <c r="D20" s="26" t="inlineStr">
        <is>
          <t>Centring</t>
        </is>
      </c>
      <c r="N20" t="inlineStr">
        <is>
          <t>Plaster Sand</t>
        </is>
      </c>
      <c r="R20" t="inlineStr">
        <is>
          <t>CCTV &amp; Security System</t>
        </is>
      </c>
    </row>
    <row r="21">
      <c r="C21" s="5" t="inlineStr">
        <is>
          <t>Utilities</t>
        </is>
      </c>
      <c r="D21" s="5" t="inlineStr">
        <is>
          <t>Borewell</t>
        </is>
      </c>
      <c r="N21" t="inlineStr">
        <is>
          <t>Mortar</t>
        </is>
      </c>
      <c r="R21" t="inlineStr">
        <is>
          <t>Air Conditioner Service &amp; Repairs</t>
        </is>
      </c>
    </row>
    <row r="22">
      <c r="C22" s="5" t="inlineStr">
        <is>
          <t>Utilities</t>
        </is>
      </c>
      <c r="D22" s="5" t="inlineStr">
        <is>
          <t>Water Pipelines</t>
        </is>
      </c>
      <c r="N22" t="inlineStr">
        <is>
          <t>Waterproofing Chemicals</t>
        </is>
      </c>
      <c r="R22" t="inlineStr">
        <is>
          <t>Generator Fuel &amp; Maintenance</t>
        </is>
      </c>
    </row>
    <row r="23">
      <c r="C23" s="5" t="inlineStr">
        <is>
          <t>Utilities</t>
        </is>
      </c>
      <c r="D23" s="5" t="inlineStr">
        <is>
          <t>Water Tank</t>
        </is>
      </c>
      <c r="N23" t="inlineStr">
        <is>
          <t>Tile Adhesive</t>
        </is>
      </c>
      <c r="R23" t="inlineStr">
        <is>
          <t>Office Repairs &amp; Renovation</t>
        </is>
      </c>
    </row>
    <row r="24">
      <c r="C24" s="5" t="inlineStr">
        <is>
          <t>Utilities</t>
        </is>
      </c>
      <c r="D24" s="5" t="inlineStr">
        <is>
          <t>Electricity Connection</t>
        </is>
      </c>
      <c r="N24" t="inlineStr">
        <is>
          <t>Wall Putty</t>
        </is>
      </c>
      <c r="R24" t="inlineStr">
        <is>
          <t>Courier &amp; Postal Charges</t>
        </is>
      </c>
    </row>
    <row r="25">
      <c r="C25" s="5" t="inlineStr">
        <is>
          <t>Utilities</t>
        </is>
      </c>
      <c r="D25" s="5" t="inlineStr">
        <is>
          <t>Transformer</t>
        </is>
      </c>
      <c r="N25" t="inlineStr">
        <is>
          <t>Primer</t>
        </is>
      </c>
      <c r="R25" t="inlineStr">
        <is>
          <t>Bank Charges</t>
        </is>
      </c>
    </row>
    <row r="26">
      <c r="C26" s="5" t="inlineStr">
        <is>
          <t>Utilities</t>
        </is>
      </c>
      <c r="D26" s="5" t="inlineStr">
        <is>
          <t>Street Lights</t>
        </is>
      </c>
      <c r="N26" t="inlineStr">
        <is>
          <t>Paint</t>
        </is>
      </c>
      <c r="R26" t="inlineStr">
        <is>
          <t>Accounting &amp; Audit Fees</t>
        </is>
      </c>
    </row>
    <row r="27">
      <c r="C27" s="5" t="inlineStr">
        <is>
          <t>Utilities</t>
        </is>
      </c>
      <c r="D27" s="5" t="inlineStr">
        <is>
          <t>Generator</t>
        </is>
      </c>
      <c r="N27" t="inlineStr">
        <is>
          <t>Texture Paint</t>
        </is>
      </c>
      <c r="R27" t="inlineStr">
        <is>
          <t>Legal &amp; Professional Fees</t>
        </is>
      </c>
    </row>
    <row r="28">
      <c r="C28" s="5" t="inlineStr">
        <is>
          <t>Landscaping</t>
        </is>
      </c>
      <c r="D28" s="5" t="inlineStr">
        <is>
          <t>Plantation</t>
        </is>
      </c>
      <c r="N28" t="inlineStr">
        <is>
          <t>Wood</t>
        </is>
      </c>
      <c r="R28" t="inlineStr">
        <is>
          <t>Employee Salaries</t>
        </is>
      </c>
    </row>
    <row r="29">
      <c r="C29" s="5" t="inlineStr">
        <is>
          <t>Landscaping</t>
        </is>
      </c>
      <c r="D29" s="5" t="inlineStr">
        <is>
          <t>Miyawaki Forest</t>
        </is>
      </c>
      <c r="N29" t="inlineStr">
        <is>
          <t>Plywood</t>
        </is>
      </c>
      <c r="R29" t="inlineStr">
        <is>
          <t>Staff Welfare</t>
        </is>
      </c>
    </row>
    <row r="30">
      <c r="C30" s="5" t="inlineStr">
        <is>
          <t>Landscaping</t>
        </is>
      </c>
      <c r="D30" s="5" t="inlineStr">
        <is>
          <t>Lawn Development</t>
        </is>
      </c>
      <c r="N30" t="inlineStr">
        <is>
          <t>MDF Boards</t>
        </is>
      </c>
      <c r="R30" t="inlineStr">
        <is>
          <t>Travel &amp; Conveyance</t>
        </is>
      </c>
    </row>
    <row r="31">
      <c r="C31" s="5" t="inlineStr">
        <is>
          <t>Landscaping</t>
        </is>
      </c>
      <c r="D31" s="5" t="inlineStr">
        <is>
          <t>Irrigation/Drip System</t>
        </is>
      </c>
      <c r="N31" t="inlineStr">
        <is>
          <t>Laminates</t>
        </is>
      </c>
      <c r="R31" t="inlineStr">
        <is>
          <t>Fuel Reimbursement</t>
        </is>
      </c>
    </row>
    <row r="32">
      <c r="C32" s="5" t="inlineStr">
        <is>
          <t>Landscaping</t>
        </is>
      </c>
      <c r="D32" s="5" t="inlineStr">
        <is>
          <t>Garden Maintenance</t>
        </is>
      </c>
      <c r="N32" t="inlineStr">
        <is>
          <t>Veneer</t>
        </is>
      </c>
      <c r="R32" t="inlineStr">
        <is>
          <t>Vehicle Maintenance</t>
        </is>
      </c>
    </row>
    <row r="33">
      <c r="C33" s="5" t="inlineStr">
        <is>
          <t>Buildings &amp; Amenities</t>
        </is>
      </c>
      <c r="D33" s="5" t="inlineStr">
        <is>
          <t>Security Room</t>
        </is>
      </c>
      <c r="N33" t="inlineStr">
        <is>
          <t>UPVC Windows</t>
        </is>
      </c>
      <c r="R33" t="inlineStr">
        <is>
          <t>Meeting &amp; Client Hospitality</t>
        </is>
      </c>
    </row>
    <row r="34">
      <c r="C34" s="5" t="inlineStr">
        <is>
          <t>Buildings &amp; Amenities</t>
        </is>
      </c>
      <c r="D34" s="5" t="inlineStr">
        <is>
          <t>Site Office</t>
        </is>
      </c>
      <c r="N34" t="inlineStr">
        <is>
          <t>Aluminum Windows</t>
        </is>
      </c>
      <c r="R34" t="inlineStr">
        <is>
          <t>Marketing &amp; Advertising</t>
        </is>
      </c>
    </row>
    <row r="35">
      <c r="C35" s="5" t="inlineStr">
        <is>
          <t>Buildings &amp; Amenities</t>
        </is>
      </c>
      <c r="D35" s="5" t="inlineStr">
        <is>
          <t>Clubhouse</t>
        </is>
      </c>
      <c r="N35" t="inlineStr">
        <is>
          <t>Glass</t>
        </is>
      </c>
      <c r="R35" t="inlineStr">
        <is>
          <t>Website &amp; Domain Expenses</t>
        </is>
      </c>
    </row>
    <row r="36">
      <c r="C36" s="5" t="inlineStr">
        <is>
          <t>Buildings &amp; Amenities</t>
        </is>
      </c>
      <c r="D36" s="5" t="inlineStr">
        <is>
          <t>Swimming Pool</t>
        </is>
      </c>
      <c r="N36" t="inlineStr">
        <is>
          <t>Doors</t>
        </is>
      </c>
      <c r="R36" t="inlineStr">
        <is>
          <t>Office Decorations</t>
        </is>
      </c>
    </row>
    <row r="37">
      <c r="C37" s="5" t="inlineStr">
        <is>
          <t>Buildings &amp; Amenities</t>
        </is>
      </c>
      <c r="D37" s="5" t="inlineStr">
        <is>
          <t>Gazebo</t>
        </is>
      </c>
      <c r="N37" t="inlineStr">
        <is>
          <t>Door Frames</t>
        </is>
      </c>
      <c r="R37" t="inlineStr">
        <is>
          <t>Pest Control</t>
        </is>
      </c>
    </row>
    <row r="38">
      <c r="C38" s="5" t="inlineStr">
        <is>
          <t>Buildings &amp; Amenities</t>
        </is>
      </c>
      <c r="D38" s="5" t="inlineStr">
        <is>
          <t>Children's Play Area</t>
        </is>
      </c>
      <c r="N38" t="inlineStr">
        <is>
          <t>Door Hardware</t>
        </is>
      </c>
      <c r="R38" t="inlineStr">
        <is>
          <t>Garbage Disposal</t>
        </is>
      </c>
    </row>
    <row r="39">
      <c r="C39" s="5" t="inlineStr">
        <is>
          <t>Buildings &amp; Amenities</t>
        </is>
      </c>
      <c r="D39" s="5" t="inlineStr">
        <is>
          <t>Sports Courts</t>
        </is>
      </c>
      <c r="N39" t="inlineStr">
        <is>
          <t>Roofing Sheets</t>
        </is>
      </c>
      <c r="R39" t="inlineStr">
        <is>
          <t>Insurance</t>
        </is>
      </c>
    </row>
    <row r="40">
      <c r="C40" s="5" t="inlineStr">
        <is>
          <t>Buildings &amp; Amenities</t>
        </is>
      </c>
      <c r="D40" s="5" t="inlineStr">
        <is>
          <t>Toilets</t>
        </is>
      </c>
      <c r="N40" t="inlineStr">
        <is>
          <t>False Ceiling Materials</t>
        </is>
      </c>
      <c r="R40" t="inlineStr">
        <is>
          <t>Taxes &amp; Government Fees</t>
        </is>
      </c>
    </row>
    <row r="41">
      <c r="C41" s="5" t="inlineStr">
        <is>
          <t>Labour &amp; Contractors</t>
        </is>
      </c>
      <c r="D41" s="5" t="inlineStr">
        <is>
          <t>Labour Wages</t>
        </is>
      </c>
      <c r="N41" t="inlineStr">
        <is>
          <t>Gypsum Boards</t>
        </is>
      </c>
      <c r="R41" t="inlineStr">
        <is>
          <t>Miscellaneous Office Expenses</t>
        </is>
      </c>
    </row>
    <row r="42">
      <c r="C42" s="5" t="inlineStr">
        <is>
          <t>Labour &amp; Contractors</t>
        </is>
      </c>
      <c r="D42" s="5" t="inlineStr">
        <is>
          <t>Contractor Payments</t>
        </is>
      </c>
      <c r="N42" t="inlineStr">
        <is>
          <t>Ceiling Channels</t>
        </is>
      </c>
    </row>
    <row r="43">
      <c r="C43" s="5" t="inlineStr">
        <is>
          <t>Labour &amp; Contractors</t>
        </is>
      </c>
      <c r="D43" s="5" t="inlineStr">
        <is>
          <t>Machinery Hire</t>
        </is>
      </c>
      <c r="N43" t="inlineStr">
        <is>
          <t>Floor Tiles</t>
        </is>
      </c>
    </row>
    <row r="44">
      <c r="C44" s="5" t="inlineStr">
        <is>
          <t>Labour &amp; Contractors</t>
        </is>
      </c>
      <c r="D44" s="5" t="inlineStr">
        <is>
          <t>Excavator/JCB</t>
        </is>
      </c>
      <c r="N44" t="inlineStr">
        <is>
          <t>Wall Tiles</t>
        </is>
      </c>
    </row>
    <row r="45">
      <c r="C45" s="5" t="inlineStr">
        <is>
          <t>Labour &amp; Contractors</t>
        </is>
      </c>
      <c r="D45" s="5" t="inlineStr">
        <is>
          <t>Tractor &amp; Transport</t>
        </is>
      </c>
      <c r="N45" t="inlineStr">
        <is>
          <t>Marble</t>
        </is>
      </c>
    </row>
    <row r="46">
      <c r="C46" s="5" t="inlineStr">
        <is>
          <t>Materials</t>
        </is>
      </c>
      <c r="D46" s="5" t="inlineStr">
        <is>
          <t>Cement</t>
        </is>
      </c>
      <c r="N46" t="inlineStr">
        <is>
          <t>Granite</t>
        </is>
      </c>
    </row>
    <row r="47">
      <c r="C47" s="5" t="inlineStr">
        <is>
          <t>Materials</t>
        </is>
      </c>
      <c r="D47" s="5" t="inlineStr">
        <is>
          <t>Sand</t>
        </is>
      </c>
      <c r="N47" t="inlineStr">
        <is>
          <t>Quartz</t>
        </is>
      </c>
    </row>
    <row r="48">
      <c r="C48" s="5" t="inlineStr">
        <is>
          <t>Materials</t>
        </is>
      </c>
      <c r="D48" s="5" t="inlineStr">
        <is>
          <t>Metal</t>
        </is>
      </c>
      <c r="N48" t="inlineStr">
        <is>
          <t>Kerb Stones</t>
        </is>
      </c>
    </row>
    <row r="49">
      <c r="C49" s="5" t="inlineStr">
        <is>
          <t>Materials</t>
        </is>
      </c>
      <c r="D49" s="5" t="inlineStr">
        <is>
          <t>Bricks</t>
        </is>
      </c>
      <c r="N49" t="inlineStr">
        <is>
          <t>Interlocking Paver Blocks</t>
        </is>
      </c>
    </row>
    <row r="50">
      <c r="C50" s="5" t="inlineStr">
        <is>
          <t>Materials</t>
        </is>
      </c>
      <c r="D50" s="5" t="inlineStr">
        <is>
          <t>Steel</t>
        </is>
      </c>
      <c r="N50" t="inlineStr">
        <is>
          <t>Kerb Blocks</t>
        </is>
      </c>
    </row>
    <row r="51">
      <c r="C51" s="5" t="inlineStr">
        <is>
          <t>Materials</t>
        </is>
      </c>
      <c r="D51" s="5" t="inlineStr">
        <is>
          <t>Pipes</t>
        </is>
      </c>
      <c r="N51" t="inlineStr">
        <is>
          <t>PVC Pipes</t>
        </is>
      </c>
    </row>
    <row r="52">
      <c r="C52" s="5" t="inlineStr">
        <is>
          <t>Materials</t>
        </is>
      </c>
      <c r="D52" s="5" t="inlineStr">
        <is>
          <t>Electrical Materials</t>
        </is>
      </c>
      <c r="N52" t="inlineStr">
        <is>
          <t>CPVC Pipes</t>
        </is>
      </c>
    </row>
    <row r="53">
      <c r="C53" s="5" t="inlineStr">
        <is>
          <t>Materials</t>
        </is>
      </c>
      <c r="D53" s="5" t="inlineStr">
        <is>
          <t>Paint</t>
        </is>
      </c>
      <c r="N53" t="inlineStr">
        <is>
          <t>UPVC Pipes</t>
        </is>
      </c>
    </row>
    <row r="54">
      <c r="C54" s="5" t="inlineStr">
        <is>
          <t>Materials</t>
        </is>
      </c>
      <c r="D54" s="5" t="inlineStr">
        <is>
          <t>Tiles</t>
        </is>
      </c>
      <c r="N54" t="inlineStr">
        <is>
          <t>Electrical Wires &amp; Cables</t>
        </is>
      </c>
    </row>
    <row r="55">
      <c r="C55" s="5" t="inlineStr">
        <is>
          <t>Operations</t>
        </is>
      </c>
      <c r="D55" s="5" t="inlineStr">
        <is>
          <t>Security</t>
        </is>
      </c>
      <c r="N55" t="inlineStr">
        <is>
          <t>Electrical Conduits</t>
        </is>
      </c>
    </row>
    <row r="56">
      <c r="C56" s="5" t="inlineStr">
        <is>
          <t>Operations</t>
        </is>
      </c>
      <c r="D56" s="5" t="inlineStr">
        <is>
          <t>Housekeeping</t>
        </is>
      </c>
      <c r="N56" t="inlineStr">
        <is>
          <t>Switches &amp; Sockets</t>
        </is>
      </c>
    </row>
    <row r="57">
      <c r="C57" s="5" t="inlineStr">
        <is>
          <t>Operations</t>
        </is>
      </c>
      <c r="D57" s="5" t="inlineStr">
        <is>
          <t>Fuel &amp; Diesel</t>
        </is>
      </c>
      <c r="N57" t="inlineStr">
        <is>
          <t>MCBs &amp; DB Boxes</t>
        </is>
      </c>
    </row>
    <row r="58">
      <c r="C58" s="5" t="inlineStr">
        <is>
          <t>Operations</t>
        </is>
      </c>
      <c r="D58" s="5" t="inlineStr">
        <is>
          <t>Vehicle Expenses</t>
        </is>
      </c>
      <c r="N58" t="inlineStr">
        <is>
          <t>LED Lights</t>
        </is>
      </c>
    </row>
    <row r="59">
      <c r="C59" s="5" t="inlineStr">
        <is>
          <t>Operations</t>
        </is>
      </c>
      <c r="D59" s="5" t="inlineStr">
        <is>
          <t>Repairs &amp; Maintenance</t>
        </is>
      </c>
      <c r="N59" t="inlineStr">
        <is>
          <t>Fans</t>
        </is>
      </c>
    </row>
    <row r="60">
      <c r="C60" s="5" t="inlineStr">
        <is>
          <t>Operations</t>
        </is>
      </c>
      <c r="D60" s="5" t="inlineStr">
        <is>
          <t>Office Expenses</t>
        </is>
      </c>
      <c r="N60" t="inlineStr">
        <is>
          <t>Plumbing Fixtures</t>
        </is>
      </c>
    </row>
    <row r="61">
      <c r="C61" s="5" t="inlineStr">
        <is>
          <t>Operations</t>
        </is>
      </c>
      <c r="D61" s="5" t="inlineStr">
        <is>
          <t>Internet &amp; Phone</t>
        </is>
      </c>
      <c r="N61" t="inlineStr">
        <is>
          <t>Bathroom Fittings</t>
        </is>
      </c>
    </row>
    <row r="62">
      <c r="C62" s="5" t="inlineStr">
        <is>
          <t>Operations</t>
        </is>
      </c>
      <c r="D62" s="27" t="inlineStr">
        <is>
          <t>Interest</t>
        </is>
      </c>
      <c r="N62" t="inlineStr">
        <is>
          <t>Water Tanks</t>
        </is>
      </c>
    </row>
    <row r="63">
      <c r="C63" s="5" t="inlineStr">
        <is>
          <t>Marketing &amp; Sales</t>
        </is>
      </c>
      <c r="D63" s="5" t="inlineStr">
        <is>
          <t>Advertisement</t>
        </is>
      </c>
      <c r="N63" t="inlineStr">
        <is>
          <t>Septic Tank Materials</t>
        </is>
      </c>
    </row>
    <row r="64">
      <c r="C64" s="5" t="inlineStr">
        <is>
          <t>Marketing &amp; Sales</t>
        </is>
      </c>
      <c r="D64" s="5" t="inlineStr">
        <is>
          <t>Flex Boards</t>
        </is>
      </c>
      <c r="N64" t="inlineStr">
        <is>
          <t>Borewell Pipes</t>
        </is>
      </c>
    </row>
    <row r="65">
      <c r="C65" s="5" t="inlineStr">
        <is>
          <t>Marketing &amp; Sales</t>
        </is>
      </c>
      <c r="D65" s="5" t="inlineStr">
        <is>
          <t>Brochures</t>
        </is>
      </c>
      <c r="N65" t="inlineStr">
        <is>
          <t>Manhole Covers</t>
        </is>
      </c>
    </row>
    <row r="66">
      <c r="C66" s="5" t="inlineStr">
        <is>
          <t>Marketing &amp; Sales</t>
        </is>
      </c>
      <c r="D66" s="5" t="inlineStr">
        <is>
          <t>Events</t>
        </is>
      </c>
      <c r="N66" t="inlineStr">
        <is>
          <t>Expansion Joints</t>
        </is>
      </c>
    </row>
    <row r="67">
      <c r="C67" s="5" t="inlineStr">
        <is>
          <t>Marketing &amp; Sales</t>
        </is>
      </c>
      <c r="D67" s="5" t="inlineStr">
        <is>
          <t>Photography &amp; Drone</t>
        </is>
      </c>
      <c r="N67" t="inlineStr">
        <is>
          <t>Construction Chemicals</t>
        </is>
      </c>
    </row>
    <row r="68">
      <c r="C68" s="5" t="inlineStr">
        <is>
          <t>Marketing &amp; Sales</t>
        </is>
      </c>
      <c r="D68" s="5" t="inlineStr">
        <is>
          <t>Digital Marketing</t>
        </is>
      </c>
      <c r="N68" t="inlineStr">
        <is>
          <t>Silicone Sealant</t>
        </is>
      </c>
    </row>
    <row r="69">
      <c r="C69" s="5" t="inlineStr">
        <is>
          <t>Miscellaneous</t>
        </is>
      </c>
      <c r="D69" s="5" t="inlineStr">
        <is>
          <t>Travel Expenses</t>
        </is>
      </c>
      <c r="N69" t="inlineStr">
        <is>
          <t>Epoxy</t>
        </is>
      </c>
    </row>
    <row r="70">
      <c r="C70" s="5" t="inlineStr">
        <is>
          <t>Miscellaneous</t>
        </is>
      </c>
      <c r="D70" s="5" t="inlineStr">
        <is>
          <t>Food &amp; Refreshments</t>
        </is>
      </c>
      <c r="N70" t="inlineStr">
        <is>
          <t>Nails</t>
        </is>
      </c>
    </row>
    <row r="71">
      <c r="C71" s="5" t="inlineStr">
        <is>
          <t>Miscellaneous</t>
        </is>
      </c>
      <c r="D71" s="5" t="inlineStr">
        <is>
          <t>Government Fees</t>
        </is>
      </c>
      <c r="N71" t="inlineStr">
        <is>
          <t>Screws</t>
        </is>
      </c>
    </row>
    <row r="72">
      <c r="C72" s="5" t="inlineStr">
        <is>
          <t>Miscellaneous</t>
        </is>
      </c>
      <c r="D72" s="5" t="inlineStr">
        <is>
          <t>Bank Charges</t>
        </is>
      </c>
      <c r="N72" t="inlineStr">
        <is>
          <t>Anchors &amp; Fasteners</t>
        </is>
      </c>
    </row>
    <row r="73">
      <c r="C73" s="5" t="inlineStr">
        <is>
          <t>Miscellaneous</t>
        </is>
      </c>
      <c r="D73" s="5" t="inlineStr">
        <is>
          <t>Miscellaneous Expenses</t>
        </is>
      </c>
      <c r="N73" t="inlineStr">
        <is>
          <t>Welding Electrodes</t>
        </is>
      </c>
    </row>
    <row r="74">
      <c r="N74" t="inlineStr">
        <is>
          <t>Safety Nets</t>
        </is>
      </c>
    </row>
    <row r="75">
      <c r="N75" t="inlineStr">
        <is>
          <t>Tarpaulin Sheets</t>
        </is>
      </c>
    </row>
    <row r="76"/>
  </sheetData>
  <pageMargins left="0.75" right="0.75" top="1" bottom="1" header="0.5" footer="0.5"/>
  <pageSetup orientation="portrait" paperSize="9" horizontalDpi="0" verticalDpi="0"/>
</worksheet>
</file>

<file path=xl/worksheets/sheet15.xml><?xml version="1.0" encoding="utf-8"?>
<worksheet xmlns="http://schemas.openxmlformats.org/spreadsheetml/2006/main">
  <sheetPr codeName="Sheet16">
    <outlinePr summaryBelow="1" summaryRight="1"/>
    <pageSetUpPr/>
  </sheetPr>
  <dimension ref="A1:H51"/>
  <sheetViews>
    <sheetView workbookViewId="0">
      <selection activeCell="A3" sqref="A3:XFD3"/>
    </sheetView>
  </sheetViews>
  <sheetFormatPr baseColWidth="10" defaultColWidth="8.83203125" defaultRowHeight="15"/>
  <cols>
    <col width="18.6640625" bestFit="1" customWidth="1" min="5" max="5"/>
    <col width="18.5" bestFit="1" customWidth="1" min="6" max="6"/>
    <col hidden="1" width="13" customWidth="1" min="8" max="8"/>
  </cols>
  <sheetData>
    <row r="1">
      <c r="A1" t="inlineStr">
        <is>
          <t>Workers</t>
        </is>
      </c>
    </row>
    <row r="2">
      <c r="A2" t="inlineStr">
        <is>
          <t>Worker ID</t>
        </is>
      </c>
      <c r="B2" t="inlineStr">
        <is>
          <t>Name</t>
        </is>
      </c>
      <c r="C2" t="inlineStr">
        <is>
          <t>Role</t>
        </is>
      </c>
      <c r="D2" t="inlineStr">
        <is>
          <t>Rate Type</t>
        </is>
      </c>
      <c r="E2" t="inlineStr">
        <is>
          <t>Rate or Agreed Amount</t>
        </is>
      </c>
      <c r="F2" t="inlineStr">
        <is>
          <t>Default Payment Mode</t>
        </is>
      </c>
      <c r="G2" t="inlineStr">
        <is>
          <t>Active</t>
        </is>
      </c>
      <c r="H2" t="inlineStr">
        <is>
          <t>Active Name</t>
        </is>
      </c>
    </row>
    <row r="3">
      <c r="H3">
        <f>IF(G3="Y",B3,"")</f>
        <v/>
      </c>
    </row>
    <row r="4">
      <c r="H4">
        <f>IF(G4="Y",B4,"")</f>
        <v/>
      </c>
    </row>
    <row r="5">
      <c r="H5">
        <f>IF(G5="Y",B5,"")</f>
        <v/>
      </c>
    </row>
    <row r="6">
      <c r="H6">
        <f>IF(G6="Y",B6,"")</f>
        <v/>
      </c>
    </row>
    <row r="7">
      <c r="H7">
        <f>IF(G7="Y",B7,"")</f>
        <v/>
      </c>
    </row>
    <row r="8">
      <c r="H8">
        <f>IF(G8="Y",B8,"")</f>
        <v/>
      </c>
    </row>
    <row r="9">
      <c r="H9">
        <f>IF(G9="Y",B9,"")</f>
        <v/>
      </c>
    </row>
    <row r="10">
      <c r="H10">
        <f>IF(G10="Y",B10,"")</f>
        <v/>
      </c>
    </row>
    <row r="11">
      <c r="H11">
        <f>IF(G11="Y",B11,"")</f>
        <v/>
      </c>
    </row>
    <row r="12">
      <c r="H12">
        <f>IF(G12="Y",B12,"")</f>
        <v/>
      </c>
    </row>
    <row r="13">
      <c r="H13">
        <f>IF(G13="Y",B13,"")</f>
        <v/>
      </c>
    </row>
    <row r="14">
      <c r="H14">
        <f>IF(G14="Y",B14,"")</f>
        <v/>
      </c>
    </row>
    <row r="15">
      <c r="H15">
        <f>IF(G15="Y",B15,"")</f>
        <v/>
      </c>
    </row>
    <row r="16">
      <c r="H16">
        <f>IF(G16="Y",B16,"")</f>
        <v/>
      </c>
    </row>
    <row r="17">
      <c r="H17">
        <f>IF(G17="Y",B17,"")</f>
        <v/>
      </c>
    </row>
    <row r="18">
      <c r="H18">
        <f>IF(G18="Y",B18,"")</f>
        <v/>
      </c>
    </row>
    <row r="19">
      <c r="H19">
        <f>IF(G19="Y",B19,"")</f>
        <v/>
      </c>
    </row>
    <row r="20">
      <c r="H20">
        <f>IF(G20="Y",B20,"")</f>
        <v/>
      </c>
    </row>
    <row r="21">
      <c r="H21">
        <f>IF(G21="Y",B21,"")</f>
        <v/>
      </c>
    </row>
    <row r="22">
      <c r="H22">
        <f>IF(G22="Y",B22,"")</f>
        <v/>
      </c>
    </row>
    <row r="23">
      <c r="H23">
        <f>IF(G23="Y",B23,"")</f>
        <v/>
      </c>
    </row>
    <row r="24">
      <c r="H24">
        <f>IF(G24="Y",B24,"")</f>
        <v/>
      </c>
    </row>
    <row r="25">
      <c r="H25">
        <f>IF(G25="Y",B25,"")</f>
        <v/>
      </c>
    </row>
    <row r="26">
      <c r="H26">
        <f>IF(G26="Y",B26,"")</f>
        <v/>
      </c>
    </row>
    <row r="27">
      <c r="H27">
        <f>IF(G27="Y",B27,"")</f>
        <v/>
      </c>
    </row>
    <row r="28">
      <c r="H28">
        <f>IF(G28="Y",B28,"")</f>
        <v/>
      </c>
    </row>
    <row r="29">
      <c r="H29">
        <f>IF(G29="Y",B29,"")</f>
        <v/>
      </c>
    </row>
    <row r="30">
      <c r="H30">
        <f>IF(G30="Y",B30,"")</f>
        <v/>
      </c>
    </row>
    <row r="31">
      <c r="H31">
        <f>IF(G31="Y",B31,"")</f>
        <v/>
      </c>
    </row>
    <row r="32">
      <c r="H32">
        <f>IF(G32="Y",B32,"")</f>
        <v/>
      </c>
    </row>
    <row r="33">
      <c r="H33">
        <f>IF(G33="Y",B33,"")</f>
        <v/>
      </c>
    </row>
    <row r="34">
      <c r="H34">
        <f>IF(G34="Y",B34,"")</f>
        <v/>
      </c>
    </row>
    <row r="35">
      <c r="H35">
        <f>IF(G35="Y",B35,"")</f>
        <v/>
      </c>
    </row>
    <row r="36">
      <c r="H36">
        <f>IF(G36="Y",B36,"")</f>
        <v/>
      </c>
    </row>
    <row r="37">
      <c r="H37">
        <f>IF(G37="Y",B37,"")</f>
        <v/>
      </c>
    </row>
    <row r="38">
      <c r="H38">
        <f>IF(G38="Y",B38,"")</f>
        <v/>
      </c>
    </row>
    <row r="39">
      <c r="H39">
        <f>IF(G39="Y",B39,"")</f>
        <v/>
      </c>
    </row>
    <row r="40">
      <c r="H40">
        <f>IF(G40="Y",B40,"")</f>
        <v/>
      </c>
    </row>
    <row r="41">
      <c r="H41">
        <f>IF(G41="Y",B41,"")</f>
        <v/>
      </c>
    </row>
    <row r="42">
      <c r="H42">
        <f>IF(G42="Y",B42,"")</f>
        <v/>
      </c>
    </row>
    <row r="43">
      <c r="H43">
        <f>IF(G43="Y",B43,"")</f>
        <v/>
      </c>
    </row>
    <row r="44">
      <c r="H44">
        <f>IF(G44="Y",B44,"")</f>
        <v/>
      </c>
    </row>
    <row r="45">
      <c r="H45">
        <f>IF(G45="Y",B45,"")</f>
        <v/>
      </c>
    </row>
    <row r="46">
      <c r="H46">
        <f>IF(G46="Y",B46,"")</f>
        <v/>
      </c>
    </row>
    <row r="47">
      <c r="H47">
        <f>IF(G47="Y",B47,"")</f>
        <v/>
      </c>
    </row>
    <row r="48">
      <c r="H48">
        <f>IF(G48="Y",B48,"")</f>
        <v/>
      </c>
    </row>
    <row r="49">
      <c r="H49">
        <f>IF(G49="Y",B49,"")</f>
        <v/>
      </c>
    </row>
    <row r="50">
      <c r="H50">
        <f>IF(G50="Y",B50,"")</f>
        <v/>
      </c>
    </row>
    <row r="51">
      <c r="H51">
        <f>IF(G51="Y",B51,"")</f>
        <v/>
      </c>
    </row>
  </sheetData>
  <pageMargins left="0.75" right="0.75" top="1" bottom="1" header="0.5" footer="0.5"/>
  <pageSetup orientation="portrait" paperSize="9" horizontalDpi="0" verticalDpi="0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1:K501"/>
  <sheetViews>
    <sheetView workbookViewId="0">
      <selection activeCell="A3" sqref="A3:XFD3"/>
    </sheetView>
  </sheetViews>
  <sheetFormatPr baseColWidth="10" defaultColWidth="8.83203125" defaultRowHeight="15"/>
  <cols>
    <col width="16.33203125" bestFit="1" customWidth="1" min="6" max="6"/>
    <col width="14.83203125" bestFit="1" customWidth="1" min="9" max="9"/>
    <col hidden="1" width="13" customWidth="1" min="11" max="11"/>
  </cols>
  <sheetData>
    <row r="1">
      <c r="A1" t="inlineStr">
        <is>
          <t>PayEntries</t>
        </is>
      </c>
    </row>
    <row r="2">
      <c r="A2" t="inlineStr">
        <is>
          <t>Worker ID</t>
        </is>
      </c>
      <c r="B2" t="inlineStr">
        <is>
          <t>Worker Name</t>
        </is>
      </c>
      <c r="C2" t="inlineStr">
        <is>
          <t>Month</t>
        </is>
      </c>
      <c r="D2" t="inlineStr">
        <is>
          <t>Days Worked</t>
        </is>
      </c>
      <c r="E2" t="inlineStr">
        <is>
          <t>Gross Pay</t>
        </is>
      </c>
      <c r="F2" t="inlineStr">
        <is>
          <t>Advance/Deduction</t>
        </is>
      </c>
      <c r="G2" t="inlineStr">
        <is>
          <t>Net Pay</t>
        </is>
      </c>
      <c r="H2" t="inlineStr">
        <is>
          <t>Payment Mode</t>
        </is>
      </c>
      <c r="I2" t="inlineStr">
        <is>
          <t>Payments Row Ref</t>
        </is>
      </c>
      <c r="J2" t="inlineStr">
        <is>
          <t>Comments</t>
        </is>
      </c>
      <c r="K2" t="inlineStr">
        <is>
          <t>Match Key</t>
        </is>
      </c>
    </row>
    <row r="3">
      <c r="B3">
        <f>IF(A3="","",IFERROR(INDEX(Workers!$B$3:$B$51,MATCH(A3,Workers!$A$3:$A$51,0)),"Invalid Worker ID"))</f>
        <v/>
      </c>
      <c r="C3" s="15" t="n"/>
      <c r="E3">
        <f>IF(A3="","",IFERROR(IF(INDEX(Workers!$D$3:$D$51,MATCH(A3,Workers!$A$3:$A$51,0))="Per Day",D3*INDEX(Workers!$E$3:$E$51,MATCH(A3,Workers!$A$3:$A$51,0)),INDEX(Workers!$E$3:$E$51,MATCH(A3,Workers!$A$3:$A$51,0))),"Invalid Worker ID"))</f>
        <v/>
      </c>
      <c r="G3">
        <f>IF(OR(A3="",E3="Invalid Worker ID"),"",E3-F3)</f>
        <v/>
      </c>
      <c r="H3">
        <f>IF(A3="","",IFERROR(INDEX(Workers!$F$3:$F$51,MATCH(A3,Workers!$A$3:$A$51,0)),"Invalid Worker ID"))</f>
        <v/>
      </c>
      <c r="K3">
        <f>A3&amp;"|"&amp;C3</f>
        <v/>
      </c>
    </row>
    <row r="4">
      <c r="B4">
        <f>IF(A4="","",IFERROR(INDEX(Workers!$B$3:$B$51,MATCH(A4,Workers!$A$3:$A$51,0)),"Invalid Worker ID"))</f>
        <v/>
      </c>
      <c r="C4" s="15" t="n"/>
      <c r="E4">
        <f>IF(A4="","",IFERROR(IF(INDEX(Workers!$D$3:$D$51,MATCH(A4,Workers!$A$3:$A$51,0))="Per Day",D4*INDEX(Workers!$E$3:$E$51,MATCH(A4,Workers!$A$3:$A$51,0)),INDEX(Workers!$E$3:$E$51,MATCH(A4,Workers!$A$3:$A$51,0))),"Invalid Worker ID"))</f>
        <v/>
      </c>
      <c r="G4">
        <f>IF(OR(A4="",E4="Invalid Worker ID"),"",E4-F4)</f>
        <v/>
      </c>
      <c r="H4">
        <f>IF(A4="","",IFERROR(INDEX(Workers!$F$3:$F$51,MATCH(A4,Workers!$A$3:$A$51,0)),"Invalid Worker ID"))</f>
        <v/>
      </c>
      <c r="K4">
        <f>A4&amp;"|"&amp;C4</f>
        <v/>
      </c>
    </row>
    <row r="5">
      <c r="B5">
        <f>IF(A5="","",IFERROR(INDEX(Workers!$B$3:$B$51,MATCH(A5,Workers!$A$3:$A$51,0)),"Invalid Worker ID"))</f>
        <v/>
      </c>
      <c r="C5" s="15" t="n"/>
      <c r="E5">
        <f>IF(A5="","",IFERROR(IF(INDEX(Workers!$D$3:$D$51,MATCH(A5,Workers!$A$3:$A$51,0))="Per Day",D5*INDEX(Workers!$E$3:$E$51,MATCH(A5,Workers!$A$3:$A$51,0)),INDEX(Workers!$E$3:$E$51,MATCH(A5,Workers!$A$3:$A$51,0))),"Invalid Worker ID"))</f>
        <v/>
      </c>
      <c r="G5">
        <f>IF(OR(A5="",E5="Invalid Worker ID"),"",E5-F5)</f>
        <v/>
      </c>
      <c r="H5">
        <f>IF(A5="","",IFERROR(INDEX(Workers!$F$3:$F$51,MATCH(A5,Workers!$A$3:$A$51,0)),"Invalid Worker ID"))</f>
        <v/>
      </c>
      <c r="K5">
        <f>A5&amp;"|"&amp;C5</f>
        <v/>
      </c>
    </row>
    <row r="6">
      <c r="B6">
        <f>IF(A6="","",IFERROR(INDEX(Workers!$B$3:$B$51,MATCH(A6,Workers!$A$3:$A$51,0)),"Invalid Worker ID"))</f>
        <v/>
      </c>
      <c r="C6" s="15" t="n"/>
      <c r="E6">
        <f>IF(A6="","",IFERROR(IF(INDEX(Workers!$D$3:$D$51,MATCH(A6,Workers!$A$3:$A$51,0))="Per Day",D6*INDEX(Workers!$E$3:$E$51,MATCH(A6,Workers!$A$3:$A$51,0)),INDEX(Workers!$E$3:$E$51,MATCH(A6,Workers!$A$3:$A$51,0))),"Invalid Worker ID"))</f>
        <v/>
      </c>
      <c r="G6">
        <f>IF(OR(A6="",E6="Invalid Worker ID"),"",E6-F6)</f>
        <v/>
      </c>
      <c r="H6">
        <f>IF(A6="","",IFERROR(INDEX(Workers!$F$3:$F$51,MATCH(A6,Workers!$A$3:$A$51,0)),"Invalid Worker ID"))</f>
        <v/>
      </c>
      <c r="K6">
        <f>A6&amp;"|"&amp;C6</f>
        <v/>
      </c>
    </row>
    <row r="7">
      <c r="B7">
        <f>IF(A7="","",IFERROR(INDEX(Workers!$B$3:$B$51,MATCH(A7,Workers!$A$3:$A$51,0)),"Invalid Worker ID"))</f>
        <v/>
      </c>
      <c r="C7" s="15" t="n"/>
      <c r="E7">
        <f>IF(A7="","",IFERROR(IF(INDEX(Workers!$D$3:$D$51,MATCH(A7,Workers!$A$3:$A$51,0))="Per Day",D7*INDEX(Workers!$E$3:$E$51,MATCH(A7,Workers!$A$3:$A$51,0)),INDEX(Workers!$E$3:$E$51,MATCH(A7,Workers!$A$3:$A$51,0))),"Invalid Worker ID"))</f>
        <v/>
      </c>
      <c r="G7">
        <f>IF(OR(A7="",E7="Invalid Worker ID"),"",E7-F7)</f>
        <v/>
      </c>
      <c r="H7">
        <f>IF(A7="","",IFERROR(INDEX(Workers!$F$3:$F$51,MATCH(A7,Workers!$A$3:$A$51,0)),"Invalid Worker ID"))</f>
        <v/>
      </c>
      <c r="K7">
        <f>A7&amp;"|"&amp;C7</f>
        <v/>
      </c>
    </row>
    <row r="8">
      <c r="B8">
        <f>IF(A8="","",IFERROR(INDEX(Workers!$B$3:$B$51,MATCH(A8,Workers!$A$3:$A$51,0)),"Invalid Worker ID"))</f>
        <v/>
      </c>
      <c r="C8" s="15" t="n"/>
      <c r="E8">
        <f>IF(A8="","",IFERROR(IF(INDEX(Workers!$D$3:$D$51,MATCH(A8,Workers!$A$3:$A$51,0))="Per Day",D8*INDEX(Workers!$E$3:$E$51,MATCH(A8,Workers!$A$3:$A$51,0)),INDEX(Workers!$E$3:$E$51,MATCH(A8,Workers!$A$3:$A$51,0))),"Invalid Worker ID"))</f>
        <v/>
      </c>
      <c r="G8">
        <f>IF(OR(A8="",E8="Invalid Worker ID"),"",E8-F8)</f>
        <v/>
      </c>
      <c r="H8">
        <f>IF(A8="","",IFERROR(INDEX(Workers!$F$3:$F$51,MATCH(A8,Workers!$A$3:$A$51,0)),"Invalid Worker ID"))</f>
        <v/>
      </c>
      <c r="K8">
        <f>A8&amp;"|"&amp;C8</f>
        <v/>
      </c>
    </row>
    <row r="9">
      <c r="B9">
        <f>IF(A9="","",IFERROR(INDEX(Workers!$B$3:$B$51,MATCH(A9,Workers!$A$3:$A$51,0)),"Invalid Worker ID"))</f>
        <v/>
      </c>
      <c r="C9" s="15" t="n"/>
      <c r="E9">
        <f>IF(A9="","",IFERROR(IF(INDEX(Workers!$D$3:$D$51,MATCH(A9,Workers!$A$3:$A$51,0))="Per Day",D9*INDEX(Workers!$E$3:$E$51,MATCH(A9,Workers!$A$3:$A$51,0)),INDEX(Workers!$E$3:$E$51,MATCH(A9,Workers!$A$3:$A$51,0))),"Invalid Worker ID"))</f>
        <v/>
      </c>
      <c r="G9">
        <f>IF(OR(A9="",E9="Invalid Worker ID"),"",E9-F9)</f>
        <v/>
      </c>
      <c r="H9">
        <f>IF(A9="","",IFERROR(INDEX(Workers!$F$3:$F$51,MATCH(A9,Workers!$A$3:$A$51,0)),"Invalid Worker ID"))</f>
        <v/>
      </c>
      <c r="K9">
        <f>A9&amp;"|"&amp;C9</f>
        <v/>
      </c>
    </row>
    <row r="10">
      <c r="B10">
        <f>IF(A10="","",IFERROR(INDEX(Workers!$B$3:$B$51,MATCH(A10,Workers!$A$3:$A$51,0)),"Invalid Worker ID"))</f>
        <v/>
      </c>
      <c r="C10" s="15" t="n"/>
      <c r="E10">
        <f>IF(A10="","",IFERROR(IF(INDEX(Workers!$D$3:$D$51,MATCH(A10,Workers!$A$3:$A$51,0))="Per Day",D10*INDEX(Workers!$E$3:$E$51,MATCH(A10,Workers!$A$3:$A$51,0)),INDEX(Workers!$E$3:$E$51,MATCH(A10,Workers!$A$3:$A$51,0))),"Invalid Worker ID"))</f>
        <v/>
      </c>
      <c r="G10">
        <f>IF(OR(A10="",E10="Invalid Worker ID"),"",E10-F10)</f>
        <v/>
      </c>
      <c r="H10">
        <f>IF(A10="","",IFERROR(INDEX(Workers!$F$3:$F$51,MATCH(A10,Workers!$A$3:$A$51,0)),"Invalid Worker ID"))</f>
        <v/>
      </c>
      <c r="K10">
        <f>A10&amp;"|"&amp;C10</f>
        <v/>
      </c>
    </row>
    <row r="11">
      <c r="B11">
        <f>IF(A11="","",IFERROR(INDEX(Workers!$B$3:$B$51,MATCH(A11,Workers!$A$3:$A$51,0)),"Invalid Worker ID"))</f>
        <v/>
      </c>
      <c r="C11" s="15" t="n"/>
      <c r="E11">
        <f>IF(A11="","",IFERROR(IF(INDEX(Workers!$D$3:$D$51,MATCH(A11,Workers!$A$3:$A$51,0))="Per Day",D11*INDEX(Workers!$E$3:$E$51,MATCH(A11,Workers!$A$3:$A$51,0)),INDEX(Workers!$E$3:$E$51,MATCH(A11,Workers!$A$3:$A$51,0))),"Invalid Worker ID"))</f>
        <v/>
      </c>
      <c r="G11">
        <f>IF(OR(A11="",E11="Invalid Worker ID"),"",E11-F11)</f>
        <v/>
      </c>
      <c r="H11">
        <f>IF(A11="","",IFERROR(INDEX(Workers!$F$3:$F$51,MATCH(A11,Workers!$A$3:$A$51,0)),"Invalid Worker ID"))</f>
        <v/>
      </c>
      <c r="K11">
        <f>A11&amp;"|"&amp;C11</f>
        <v/>
      </c>
    </row>
    <row r="12">
      <c r="B12">
        <f>IF(A12="","",IFERROR(INDEX(Workers!$B$3:$B$51,MATCH(A12,Workers!$A$3:$A$51,0)),"Invalid Worker ID"))</f>
        <v/>
      </c>
      <c r="C12" s="15" t="n"/>
      <c r="E12">
        <f>IF(A12="","",IFERROR(IF(INDEX(Workers!$D$3:$D$51,MATCH(A12,Workers!$A$3:$A$51,0))="Per Day",D12*INDEX(Workers!$E$3:$E$51,MATCH(A12,Workers!$A$3:$A$51,0)),INDEX(Workers!$E$3:$E$51,MATCH(A12,Workers!$A$3:$A$51,0))),"Invalid Worker ID"))</f>
        <v/>
      </c>
      <c r="G12">
        <f>IF(OR(A12="",E12="Invalid Worker ID"),"",E12-F12)</f>
        <v/>
      </c>
      <c r="H12">
        <f>IF(A12="","",IFERROR(INDEX(Workers!$F$3:$F$51,MATCH(A12,Workers!$A$3:$A$51,0)),"Invalid Worker ID"))</f>
        <v/>
      </c>
      <c r="K12">
        <f>A12&amp;"|"&amp;C12</f>
        <v/>
      </c>
    </row>
    <row r="13">
      <c r="B13">
        <f>IF(A13="","",IFERROR(INDEX(Workers!$B$3:$B$51,MATCH(A13,Workers!$A$3:$A$51,0)),"Invalid Worker ID"))</f>
        <v/>
      </c>
      <c r="C13" s="15" t="n"/>
      <c r="E13">
        <f>IF(A13="","",IFERROR(IF(INDEX(Workers!$D$3:$D$51,MATCH(A13,Workers!$A$3:$A$51,0))="Per Day",D13*INDEX(Workers!$E$3:$E$51,MATCH(A13,Workers!$A$3:$A$51,0)),INDEX(Workers!$E$3:$E$51,MATCH(A13,Workers!$A$3:$A$51,0))),"Invalid Worker ID"))</f>
        <v/>
      </c>
      <c r="G13">
        <f>IF(OR(A13="",E13="Invalid Worker ID"),"",E13-F13)</f>
        <v/>
      </c>
      <c r="H13">
        <f>IF(A13="","",IFERROR(INDEX(Workers!$F$3:$F$51,MATCH(A13,Workers!$A$3:$A$51,0)),"Invalid Worker ID"))</f>
        <v/>
      </c>
      <c r="K13">
        <f>A13&amp;"|"&amp;C13</f>
        <v/>
      </c>
    </row>
    <row r="14">
      <c r="B14">
        <f>IF(A14="","",IFERROR(INDEX(Workers!$B$3:$B$51,MATCH(A14,Workers!$A$3:$A$51,0)),"Invalid Worker ID"))</f>
        <v/>
      </c>
      <c r="C14" s="15" t="n"/>
      <c r="E14">
        <f>IF(A14="","",IFERROR(IF(INDEX(Workers!$D$3:$D$51,MATCH(A14,Workers!$A$3:$A$51,0))="Per Day",D14*INDEX(Workers!$E$3:$E$51,MATCH(A14,Workers!$A$3:$A$51,0)),INDEX(Workers!$E$3:$E$51,MATCH(A14,Workers!$A$3:$A$51,0))),"Invalid Worker ID"))</f>
        <v/>
      </c>
      <c r="G14">
        <f>IF(OR(A14="",E14="Invalid Worker ID"),"",E14-F14)</f>
        <v/>
      </c>
      <c r="H14">
        <f>IF(A14="","",IFERROR(INDEX(Workers!$F$3:$F$51,MATCH(A14,Workers!$A$3:$A$51,0)),"Invalid Worker ID"))</f>
        <v/>
      </c>
      <c r="K14">
        <f>A14&amp;"|"&amp;C14</f>
        <v/>
      </c>
    </row>
    <row r="15">
      <c r="B15">
        <f>IF(A15="","",IFERROR(INDEX(Workers!$B$3:$B$51,MATCH(A15,Workers!$A$3:$A$51,0)),"Invalid Worker ID"))</f>
        <v/>
      </c>
      <c r="C15" s="15" t="n"/>
      <c r="E15">
        <f>IF(A15="","",IFERROR(IF(INDEX(Workers!$D$3:$D$51,MATCH(A15,Workers!$A$3:$A$51,0))="Per Day",D15*INDEX(Workers!$E$3:$E$51,MATCH(A15,Workers!$A$3:$A$51,0)),INDEX(Workers!$E$3:$E$51,MATCH(A15,Workers!$A$3:$A$51,0))),"Invalid Worker ID"))</f>
        <v/>
      </c>
      <c r="G15">
        <f>IF(OR(A15="",E15="Invalid Worker ID"),"",E15-F15)</f>
        <v/>
      </c>
      <c r="H15">
        <f>IF(A15="","",IFERROR(INDEX(Workers!$F$3:$F$51,MATCH(A15,Workers!$A$3:$A$51,0)),"Invalid Worker ID"))</f>
        <v/>
      </c>
      <c r="K15">
        <f>A15&amp;"|"&amp;C15</f>
        <v/>
      </c>
    </row>
    <row r="16">
      <c r="B16">
        <f>IF(A16="","",IFERROR(INDEX(Workers!$B$3:$B$51,MATCH(A16,Workers!$A$3:$A$51,0)),"Invalid Worker ID"))</f>
        <v/>
      </c>
      <c r="C16" s="15" t="n"/>
      <c r="E16">
        <f>IF(A16="","",IFERROR(IF(INDEX(Workers!$D$3:$D$51,MATCH(A16,Workers!$A$3:$A$51,0))="Per Day",D16*INDEX(Workers!$E$3:$E$51,MATCH(A16,Workers!$A$3:$A$51,0)),INDEX(Workers!$E$3:$E$51,MATCH(A16,Workers!$A$3:$A$51,0))),"Invalid Worker ID"))</f>
        <v/>
      </c>
      <c r="G16">
        <f>IF(OR(A16="",E16="Invalid Worker ID"),"",E16-F16)</f>
        <v/>
      </c>
      <c r="H16">
        <f>IF(A16="","",IFERROR(INDEX(Workers!$F$3:$F$51,MATCH(A16,Workers!$A$3:$A$51,0)),"Invalid Worker ID"))</f>
        <v/>
      </c>
      <c r="K16">
        <f>A16&amp;"|"&amp;C16</f>
        <v/>
      </c>
    </row>
    <row r="17">
      <c r="B17">
        <f>IF(A17="","",IFERROR(INDEX(Workers!$B$3:$B$51,MATCH(A17,Workers!$A$3:$A$51,0)),"Invalid Worker ID"))</f>
        <v/>
      </c>
      <c r="C17" s="15" t="n"/>
      <c r="E17">
        <f>IF(A17="","",IFERROR(IF(INDEX(Workers!$D$3:$D$51,MATCH(A17,Workers!$A$3:$A$51,0))="Per Day",D17*INDEX(Workers!$E$3:$E$51,MATCH(A17,Workers!$A$3:$A$51,0)),INDEX(Workers!$E$3:$E$51,MATCH(A17,Workers!$A$3:$A$51,0))),"Invalid Worker ID"))</f>
        <v/>
      </c>
      <c r="G17">
        <f>IF(OR(A17="",E17="Invalid Worker ID"),"",E17-F17)</f>
        <v/>
      </c>
      <c r="H17">
        <f>IF(A17="","",IFERROR(INDEX(Workers!$F$3:$F$51,MATCH(A17,Workers!$A$3:$A$51,0)),"Invalid Worker ID"))</f>
        <v/>
      </c>
      <c r="K17">
        <f>A17&amp;"|"&amp;C17</f>
        <v/>
      </c>
    </row>
    <row r="18">
      <c r="B18">
        <f>IF(A18="","",IFERROR(INDEX(Workers!$B$3:$B$51,MATCH(A18,Workers!$A$3:$A$51,0)),"Invalid Worker ID"))</f>
        <v/>
      </c>
      <c r="C18" s="15" t="n"/>
      <c r="E18">
        <f>IF(A18="","",IFERROR(IF(INDEX(Workers!$D$3:$D$51,MATCH(A18,Workers!$A$3:$A$51,0))="Per Day",D18*INDEX(Workers!$E$3:$E$51,MATCH(A18,Workers!$A$3:$A$51,0)),INDEX(Workers!$E$3:$E$51,MATCH(A18,Workers!$A$3:$A$51,0))),"Invalid Worker ID"))</f>
        <v/>
      </c>
      <c r="G18">
        <f>IF(OR(A18="",E18="Invalid Worker ID"),"",E18-F18)</f>
        <v/>
      </c>
      <c r="H18">
        <f>IF(A18="","",IFERROR(INDEX(Workers!$F$3:$F$51,MATCH(A18,Workers!$A$3:$A$51,0)),"Invalid Worker ID"))</f>
        <v/>
      </c>
      <c r="K18">
        <f>A18&amp;"|"&amp;C18</f>
        <v/>
      </c>
    </row>
    <row r="19">
      <c r="B19">
        <f>IF(A19="","",IFERROR(INDEX(Workers!$B$3:$B$51,MATCH(A19,Workers!$A$3:$A$51,0)),"Invalid Worker ID"))</f>
        <v/>
      </c>
      <c r="C19" s="15" t="n"/>
      <c r="E19">
        <f>IF(A19="","",IFERROR(IF(INDEX(Workers!$D$3:$D$51,MATCH(A19,Workers!$A$3:$A$51,0))="Per Day",D19*INDEX(Workers!$E$3:$E$51,MATCH(A19,Workers!$A$3:$A$51,0)),INDEX(Workers!$E$3:$E$51,MATCH(A19,Workers!$A$3:$A$51,0))),"Invalid Worker ID"))</f>
        <v/>
      </c>
      <c r="G19">
        <f>IF(OR(A19="",E19="Invalid Worker ID"),"",E19-F19)</f>
        <v/>
      </c>
      <c r="H19">
        <f>IF(A19="","",IFERROR(INDEX(Workers!$F$3:$F$51,MATCH(A19,Workers!$A$3:$A$51,0)),"Invalid Worker ID"))</f>
        <v/>
      </c>
      <c r="K19">
        <f>A19&amp;"|"&amp;C19</f>
        <v/>
      </c>
    </row>
    <row r="20">
      <c r="B20">
        <f>IF(A20="","",IFERROR(INDEX(Workers!$B$3:$B$51,MATCH(A20,Workers!$A$3:$A$51,0)),"Invalid Worker ID"))</f>
        <v/>
      </c>
      <c r="C20" s="15" t="n"/>
      <c r="E20">
        <f>IF(A20="","",IFERROR(IF(INDEX(Workers!$D$3:$D$51,MATCH(A20,Workers!$A$3:$A$51,0))="Per Day",D20*INDEX(Workers!$E$3:$E$51,MATCH(A20,Workers!$A$3:$A$51,0)),INDEX(Workers!$E$3:$E$51,MATCH(A20,Workers!$A$3:$A$51,0))),"Invalid Worker ID"))</f>
        <v/>
      </c>
      <c r="G20">
        <f>IF(OR(A20="",E20="Invalid Worker ID"),"",E20-F20)</f>
        <v/>
      </c>
      <c r="H20">
        <f>IF(A20="","",IFERROR(INDEX(Workers!$F$3:$F$51,MATCH(A20,Workers!$A$3:$A$51,0)),"Invalid Worker ID"))</f>
        <v/>
      </c>
      <c r="K20">
        <f>A20&amp;"|"&amp;C20</f>
        <v/>
      </c>
    </row>
    <row r="21">
      <c r="B21">
        <f>IF(A21="","",IFERROR(INDEX(Workers!$B$3:$B$51,MATCH(A21,Workers!$A$3:$A$51,0)),"Invalid Worker ID"))</f>
        <v/>
      </c>
      <c r="C21" s="15" t="n"/>
      <c r="E21">
        <f>IF(A21="","",IFERROR(IF(INDEX(Workers!$D$3:$D$51,MATCH(A21,Workers!$A$3:$A$51,0))="Per Day",D21*INDEX(Workers!$E$3:$E$51,MATCH(A21,Workers!$A$3:$A$51,0)),INDEX(Workers!$E$3:$E$51,MATCH(A21,Workers!$A$3:$A$51,0))),"Invalid Worker ID"))</f>
        <v/>
      </c>
      <c r="G21">
        <f>IF(OR(A21="",E21="Invalid Worker ID"),"",E21-F21)</f>
        <v/>
      </c>
      <c r="H21">
        <f>IF(A21="","",IFERROR(INDEX(Workers!$F$3:$F$51,MATCH(A21,Workers!$A$3:$A$51,0)),"Invalid Worker ID"))</f>
        <v/>
      </c>
      <c r="K21">
        <f>A21&amp;"|"&amp;C21</f>
        <v/>
      </c>
    </row>
    <row r="22">
      <c r="B22">
        <f>IF(A22="","",IFERROR(INDEX(Workers!$B$3:$B$51,MATCH(A22,Workers!$A$3:$A$51,0)),"Invalid Worker ID"))</f>
        <v/>
      </c>
      <c r="C22" s="15" t="n"/>
      <c r="E22">
        <f>IF(A22="","",IFERROR(IF(INDEX(Workers!$D$3:$D$51,MATCH(A22,Workers!$A$3:$A$51,0))="Per Day",D22*INDEX(Workers!$E$3:$E$51,MATCH(A22,Workers!$A$3:$A$51,0)),INDEX(Workers!$E$3:$E$51,MATCH(A22,Workers!$A$3:$A$51,0))),"Invalid Worker ID"))</f>
        <v/>
      </c>
      <c r="G22">
        <f>IF(OR(A22="",E22="Invalid Worker ID"),"",E22-F22)</f>
        <v/>
      </c>
      <c r="H22">
        <f>IF(A22="","",IFERROR(INDEX(Workers!$F$3:$F$51,MATCH(A22,Workers!$A$3:$A$51,0)),"Invalid Worker ID"))</f>
        <v/>
      </c>
      <c r="K22">
        <f>A22&amp;"|"&amp;C22</f>
        <v/>
      </c>
    </row>
    <row r="23">
      <c r="B23">
        <f>IF(A23="","",IFERROR(INDEX(Workers!$B$3:$B$51,MATCH(A23,Workers!$A$3:$A$51,0)),"Invalid Worker ID"))</f>
        <v/>
      </c>
      <c r="C23" s="15" t="n"/>
      <c r="E23">
        <f>IF(A23="","",IFERROR(IF(INDEX(Workers!$D$3:$D$51,MATCH(A23,Workers!$A$3:$A$51,0))="Per Day",D23*INDEX(Workers!$E$3:$E$51,MATCH(A23,Workers!$A$3:$A$51,0)),INDEX(Workers!$E$3:$E$51,MATCH(A23,Workers!$A$3:$A$51,0))),"Invalid Worker ID"))</f>
        <v/>
      </c>
      <c r="G23">
        <f>IF(OR(A23="",E23="Invalid Worker ID"),"",E23-F23)</f>
        <v/>
      </c>
      <c r="H23">
        <f>IF(A23="","",IFERROR(INDEX(Workers!$F$3:$F$51,MATCH(A23,Workers!$A$3:$A$51,0)),"Invalid Worker ID"))</f>
        <v/>
      </c>
      <c r="K23">
        <f>A23&amp;"|"&amp;C23</f>
        <v/>
      </c>
    </row>
    <row r="24">
      <c r="B24">
        <f>IF(A24="","",IFERROR(INDEX(Workers!$B$3:$B$51,MATCH(A24,Workers!$A$3:$A$51,0)),"Invalid Worker ID"))</f>
        <v/>
      </c>
      <c r="C24" s="15" t="n"/>
      <c r="E24">
        <f>IF(A24="","",IFERROR(IF(INDEX(Workers!$D$3:$D$51,MATCH(A24,Workers!$A$3:$A$51,0))="Per Day",D24*INDEX(Workers!$E$3:$E$51,MATCH(A24,Workers!$A$3:$A$51,0)),INDEX(Workers!$E$3:$E$51,MATCH(A24,Workers!$A$3:$A$51,0))),"Invalid Worker ID"))</f>
        <v/>
      </c>
      <c r="G24">
        <f>IF(OR(A24="",E24="Invalid Worker ID"),"",E24-F24)</f>
        <v/>
      </c>
      <c r="H24">
        <f>IF(A24="","",IFERROR(INDEX(Workers!$F$3:$F$51,MATCH(A24,Workers!$A$3:$A$51,0)),"Invalid Worker ID"))</f>
        <v/>
      </c>
      <c r="K24">
        <f>A24&amp;"|"&amp;C24</f>
        <v/>
      </c>
    </row>
    <row r="25">
      <c r="B25">
        <f>IF(A25="","",IFERROR(INDEX(Workers!$B$3:$B$51,MATCH(A25,Workers!$A$3:$A$51,0)),"Invalid Worker ID"))</f>
        <v/>
      </c>
      <c r="C25" s="15" t="n"/>
      <c r="E25">
        <f>IF(A25="","",IFERROR(IF(INDEX(Workers!$D$3:$D$51,MATCH(A25,Workers!$A$3:$A$51,0))="Per Day",D25*INDEX(Workers!$E$3:$E$51,MATCH(A25,Workers!$A$3:$A$51,0)),INDEX(Workers!$E$3:$E$51,MATCH(A25,Workers!$A$3:$A$51,0))),"Invalid Worker ID"))</f>
        <v/>
      </c>
      <c r="G25">
        <f>IF(OR(A25="",E25="Invalid Worker ID"),"",E25-F25)</f>
        <v/>
      </c>
      <c r="H25">
        <f>IF(A25="","",IFERROR(INDEX(Workers!$F$3:$F$51,MATCH(A25,Workers!$A$3:$A$51,0)),"Invalid Worker ID"))</f>
        <v/>
      </c>
      <c r="K25">
        <f>A25&amp;"|"&amp;C25</f>
        <v/>
      </c>
    </row>
    <row r="26">
      <c r="B26">
        <f>IF(A26="","",IFERROR(INDEX(Workers!$B$3:$B$51,MATCH(A26,Workers!$A$3:$A$51,0)),"Invalid Worker ID"))</f>
        <v/>
      </c>
      <c r="C26" s="15" t="n"/>
      <c r="E26">
        <f>IF(A26="","",IFERROR(IF(INDEX(Workers!$D$3:$D$51,MATCH(A26,Workers!$A$3:$A$51,0))="Per Day",D26*INDEX(Workers!$E$3:$E$51,MATCH(A26,Workers!$A$3:$A$51,0)),INDEX(Workers!$E$3:$E$51,MATCH(A26,Workers!$A$3:$A$51,0))),"Invalid Worker ID"))</f>
        <v/>
      </c>
      <c r="G26">
        <f>IF(OR(A26="",E26="Invalid Worker ID"),"",E26-F26)</f>
        <v/>
      </c>
      <c r="H26">
        <f>IF(A26="","",IFERROR(INDEX(Workers!$F$3:$F$51,MATCH(A26,Workers!$A$3:$A$51,0)),"Invalid Worker ID"))</f>
        <v/>
      </c>
      <c r="K26">
        <f>A26&amp;"|"&amp;C26</f>
        <v/>
      </c>
    </row>
    <row r="27">
      <c r="B27">
        <f>IF(A27="","",IFERROR(INDEX(Workers!$B$3:$B$51,MATCH(A27,Workers!$A$3:$A$51,0)),"Invalid Worker ID"))</f>
        <v/>
      </c>
      <c r="C27" s="15" t="n"/>
      <c r="E27">
        <f>IF(A27="","",IFERROR(IF(INDEX(Workers!$D$3:$D$51,MATCH(A27,Workers!$A$3:$A$51,0))="Per Day",D27*INDEX(Workers!$E$3:$E$51,MATCH(A27,Workers!$A$3:$A$51,0)),INDEX(Workers!$E$3:$E$51,MATCH(A27,Workers!$A$3:$A$51,0))),"Invalid Worker ID"))</f>
        <v/>
      </c>
      <c r="G27">
        <f>IF(OR(A27="",E27="Invalid Worker ID"),"",E27-F27)</f>
        <v/>
      </c>
      <c r="H27">
        <f>IF(A27="","",IFERROR(INDEX(Workers!$F$3:$F$51,MATCH(A27,Workers!$A$3:$A$51,0)),"Invalid Worker ID"))</f>
        <v/>
      </c>
      <c r="K27">
        <f>A27&amp;"|"&amp;C27</f>
        <v/>
      </c>
    </row>
    <row r="28">
      <c r="B28">
        <f>IF(A28="","",IFERROR(INDEX(Workers!$B$3:$B$51,MATCH(A28,Workers!$A$3:$A$51,0)),"Invalid Worker ID"))</f>
        <v/>
      </c>
      <c r="C28" s="15" t="n"/>
      <c r="E28">
        <f>IF(A28="","",IFERROR(IF(INDEX(Workers!$D$3:$D$51,MATCH(A28,Workers!$A$3:$A$51,0))="Per Day",D28*INDEX(Workers!$E$3:$E$51,MATCH(A28,Workers!$A$3:$A$51,0)),INDEX(Workers!$E$3:$E$51,MATCH(A28,Workers!$A$3:$A$51,0))),"Invalid Worker ID"))</f>
        <v/>
      </c>
      <c r="G28">
        <f>IF(OR(A28="",E28="Invalid Worker ID"),"",E28-F28)</f>
        <v/>
      </c>
      <c r="H28">
        <f>IF(A28="","",IFERROR(INDEX(Workers!$F$3:$F$51,MATCH(A28,Workers!$A$3:$A$51,0)),"Invalid Worker ID"))</f>
        <v/>
      </c>
      <c r="K28">
        <f>A28&amp;"|"&amp;C28</f>
        <v/>
      </c>
    </row>
    <row r="29">
      <c r="B29">
        <f>IF(A29="","",IFERROR(INDEX(Workers!$B$3:$B$51,MATCH(A29,Workers!$A$3:$A$51,0)),"Invalid Worker ID"))</f>
        <v/>
      </c>
      <c r="C29" s="15" t="n"/>
      <c r="E29">
        <f>IF(A29="","",IFERROR(IF(INDEX(Workers!$D$3:$D$51,MATCH(A29,Workers!$A$3:$A$51,0))="Per Day",D29*INDEX(Workers!$E$3:$E$51,MATCH(A29,Workers!$A$3:$A$51,0)),INDEX(Workers!$E$3:$E$51,MATCH(A29,Workers!$A$3:$A$51,0))),"Invalid Worker ID"))</f>
        <v/>
      </c>
      <c r="G29">
        <f>IF(OR(A29="",E29="Invalid Worker ID"),"",E29-F29)</f>
        <v/>
      </c>
      <c r="H29">
        <f>IF(A29="","",IFERROR(INDEX(Workers!$F$3:$F$51,MATCH(A29,Workers!$A$3:$A$51,0)),"Invalid Worker ID"))</f>
        <v/>
      </c>
      <c r="K29">
        <f>A29&amp;"|"&amp;C29</f>
        <v/>
      </c>
    </row>
    <row r="30">
      <c r="B30">
        <f>IF(A30="","",IFERROR(INDEX(Workers!$B$3:$B$51,MATCH(A30,Workers!$A$3:$A$51,0)),"Invalid Worker ID"))</f>
        <v/>
      </c>
      <c r="C30" s="15" t="n"/>
      <c r="E30">
        <f>IF(A30="","",IFERROR(IF(INDEX(Workers!$D$3:$D$51,MATCH(A30,Workers!$A$3:$A$51,0))="Per Day",D30*INDEX(Workers!$E$3:$E$51,MATCH(A30,Workers!$A$3:$A$51,0)),INDEX(Workers!$E$3:$E$51,MATCH(A30,Workers!$A$3:$A$51,0))),"Invalid Worker ID"))</f>
        <v/>
      </c>
      <c r="G30">
        <f>IF(OR(A30="",E30="Invalid Worker ID"),"",E30-F30)</f>
        <v/>
      </c>
      <c r="H30">
        <f>IF(A30="","",IFERROR(INDEX(Workers!$F$3:$F$51,MATCH(A30,Workers!$A$3:$A$51,0)),"Invalid Worker ID"))</f>
        <v/>
      </c>
      <c r="K30">
        <f>A30&amp;"|"&amp;C30</f>
        <v/>
      </c>
    </row>
    <row r="31">
      <c r="B31">
        <f>IF(A31="","",IFERROR(INDEX(Workers!$B$3:$B$51,MATCH(A31,Workers!$A$3:$A$51,0)),"Invalid Worker ID"))</f>
        <v/>
      </c>
      <c r="C31" s="15" t="n"/>
      <c r="E31">
        <f>IF(A31="","",IFERROR(IF(INDEX(Workers!$D$3:$D$51,MATCH(A31,Workers!$A$3:$A$51,0))="Per Day",D31*INDEX(Workers!$E$3:$E$51,MATCH(A31,Workers!$A$3:$A$51,0)),INDEX(Workers!$E$3:$E$51,MATCH(A31,Workers!$A$3:$A$51,0))),"Invalid Worker ID"))</f>
        <v/>
      </c>
      <c r="G31">
        <f>IF(OR(A31="",E31="Invalid Worker ID"),"",E31-F31)</f>
        <v/>
      </c>
      <c r="H31">
        <f>IF(A31="","",IFERROR(INDEX(Workers!$F$3:$F$51,MATCH(A31,Workers!$A$3:$A$51,0)),"Invalid Worker ID"))</f>
        <v/>
      </c>
      <c r="K31">
        <f>A31&amp;"|"&amp;C31</f>
        <v/>
      </c>
    </row>
    <row r="32">
      <c r="B32">
        <f>IF(A32="","",IFERROR(INDEX(Workers!$B$3:$B$51,MATCH(A32,Workers!$A$3:$A$51,0)),"Invalid Worker ID"))</f>
        <v/>
      </c>
      <c r="C32" s="15" t="n"/>
      <c r="E32">
        <f>IF(A32="","",IFERROR(IF(INDEX(Workers!$D$3:$D$51,MATCH(A32,Workers!$A$3:$A$51,0))="Per Day",D32*INDEX(Workers!$E$3:$E$51,MATCH(A32,Workers!$A$3:$A$51,0)),INDEX(Workers!$E$3:$E$51,MATCH(A32,Workers!$A$3:$A$51,0))),"Invalid Worker ID"))</f>
        <v/>
      </c>
      <c r="G32">
        <f>IF(OR(A32="",E32="Invalid Worker ID"),"",E32-F32)</f>
        <v/>
      </c>
      <c r="H32">
        <f>IF(A32="","",IFERROR(INDEX(Workers!$F$3:$F$51,MATCH(A32,Workers!$A$3:$A$51,0)),"Invalid Worker ID"))</f>
        <v/>
      </c>
      <c r="K32">
        <f>A32&amp;"|"&amp;C32</f>
        <v/>
      </c>
    </row>
    <row r="33">
      <c r="B33">
        <f>IF(A33="","",IFERROR(INDEX(Workers!$B$3:$B$51,MATCH(A33,Workers!$A$3:$A$51,0)),"Invalid Worker ID"))</f>
        <v/>
      </c>
      <c r="C33" s="15" t="n"/>
      <c r="E33">
        <f>IF(A33="","",IFERROR(IF(INDEX(Workers!$D$3:$D$51,MATCH(A33,Workers!$A$3:$A$51,0))="Per Day",D33*INDEX(Workers!$E$3:$E$51,MATCH(A33,Workers!$A$3:$A$51,0)),INDEX(Workers!$E$3:$E$51,MATCH(A33,Workers!$A$3:$A$51,0))),"Invalid Worker ID"))</f>
        <v/>
      </c>
      <c r="G33">
        <f>IF(OR(A33="",E33="Invalid Worker ID"),"",E33-F33)</f>
        <v/>
      </c>
      <c r="H33">
        <f>IF(A33="","",IFERROR(INDEX(Workers!$F$3:$F$51,MATCH(A33,Workers!$A$3:$A$51,0)),"Invalid Worker ID"))</f>
        <v/>
      </c>
      <c r="K33">
        <f>A33&amp;"|"&amp;C33</f>
        <v/>
      </c>
    </row>
    <row r="34">
      <c r="B34">
        <f>IF(A34="","",IFERROR(INDEX(Workers!$B$3:$B$51,MATCH(A34,Workers!$A$3:$A$51,0)),"Invalid Worker ID"))</f>
        <v/>
      </c>
      <c r="C34" s="15" t="n"/>
      <c r="E34">
        <f>IF(A34="","",IFERROR(IF(INDEX(Workers!$D$3:$D$51,MATCH(A34,Workers!$A$3:$A$51,0))="Per Day",D34*INDEX(Workers!$E$3:$E$51,MATCH(A34,Workers!$A$3:$A$51,0)),INDEX(Workers!$E$3:$E$51,MATCH(A34,Workers!$A$3:$A$51,0))),"Invalid Worker ID"))</f>
        <v/>
      </c>
      <c r="G34">
        <f>IF(OR(A34="",E34="Invalid Worker ID"),"",E34-F34)</f>
        <v/>
      </c>
      <c r="H34">
        <f>IF(A34="","",IFERROR(INDEX(Workers!$F$3:$F$51,MATCH(A34,Workers!$A$3:$A$51,0)),"Invalid Worker ID"))</f>
        <v/>
      </c>
      <c r="K34">
        <f>A34&amp;"|"&amp;C34</f>
        <v/>
      </c>
    </row>
    <row r="35">
      <c r="B35">
        <f>IF(A35="","",IFERROR(INDEX(Workers!$B$3:$B$51,MATCH(A35,Workers!$A$3:$A$51,0)),"Invalid Worker ID"))</f>
        <v/>
      </c>
      <c r="C35" s="15" t="n"/>
      <c r="E35">
        <f>IF(A35="","",IFERROR(IF(INDEX(Workers!$D$3:$D$51,MATCH(A35,Workers!$A$3:$A$51,0))="Per Day",D35*INDEX(Workers!$E$3:$E$51,MATCH(A35,Workers!$A$3:$A$51,0)),INDEX(Workers!$E$3:$E$51,MATCH(A35,Workers!$A$3:$A$51,0))),"Invalid Worker ID"))</f>
        <v/>
      </c>
      <c r="G35">
        <f>IF(OR(A35="",E35="Invalid Worker ID"),"",E35-F35)</f>
        <v/>
      </c>
      <c r="H35">
        <f>IF(A35="","",IFERROR(INDEX(Workers!$F$3:$F$51,MATCH(A35,Workers!$A$3:$A$51,0)),"Invalid Worker ID"))</f>
        <v/>
      </c>
      <c r="K35">
        <f>A35&amp;"|"&amp;C35</f>
        <v/>
      </c>
    </row>
    <row r="36">
      <c r="B36">
        <f>IF(A36="","",IFERROR(INDEX(Workers!$B$3:$B$51,MATCH(A36,Workers!$A$3:$A$51,0)),"Invalid Worker ID"))</f>
        <v/>
      </c>
      <c r="C36" s="15" t="n"/>
      <c r="E36">
        <f>IF(A36="","",IFERROR(IF(INDEX(Workers!$D$3:$D$51,MATCH(A36,Workers!$A$3:$A$51,0))="Per Day",D36*INDEX(Workers!$E$3:$E$51,MATCH(A36,Workers!$A$3:$A$51,0)),INDEX(Workers!$E$3:$E$51,MATCH(A36,Workers!$A$3:$A$51,0))),"Invalid Worker ID"))</f>
        <v/>
      </c>
      <c r="G36">
        <f>IF(OR(A36="",E36="Invalid Worker ID"),"",E36-F36)</f>
        <v/>
      </c>
      <c r="H36">
        <f>IF(A36="","",IFERROR(INDEX(Workers!$F$3:$F$51,MATCH(A36,Workers!$A$3:$A$51,0)),"Invalid Worker ID"))</f>
        <v/>
      </c>
      <c r="K36">
        <f>A36&amp;"|"&amp;C36</f>
        <v/>
      </c>
    </row>
    <row r="37">
      <c r="B37">
        <f>IF(A37="","",IFERROR(INDEX(Workers!$B$3:$B$51,MATCH(A37,Workers!$A$3:$A$51,0)),"Invalid Worker ID"))</f>
        <v/>
      </c>
      <c r="C37" s="15" t="n"/>
      <c r="E37">
        <f>IF(A37="","",IFERROR(IF(INDEX(Workers!$D$3:$D$51,MATCH(A37,Workers!$A$3:$A$51,0))="Per Day",D37*INDEX(Workers!$E$3:$E$51,MATCH(A37,Workers!$A$3:$A$51,0)),INDEX(Workers!$E$3:$E$51,MATCH(A37,Workers!$A$3:$A$51,0))),"Invalid Worker ID"))</f>
        <v/>
      </c>
      <c r="G37">
        <f>IF(OR(A37="",E37="Invalid Worker ID"),"",E37-F37)</f>
        <v/>
      </c>
      <c r="H37">
        <f>IF(A37="","",IFERROR(INDEX(Workers!$F$3:$F$51,MATCH(A37,Workers!$A$3:$A$51,0)),"Invalid Worker ID"))</f>
        <v/>
      </c>
      <c r="K37">
        <f>A37&amp;"|"&amp;C37</f>
        <v/>
      </c>
    </row>
    <row r="38">
      <c r="B38">
        <f>IF(A38="","",IFERROR(INDEX(Workers!$B$3:$B$51,MATCH(A38,Workers!$A$3:$A$51,0)),"Invalid Worker ID"))</f>
        <v/>
      </c>
      <c r="C38" s="15" t="n"/>
      <c r="E38">
        <f>IF(A38="","",IFERROR(IF(INDEX(Workers!$D$3:$D$51,MATCH(A38,Workers!$A$3:$A$51,0))="Per Day",D38*INDEX(Workers!$E$3:$E$51,MATCH(A38,Workers!$A$3:$A$51,0)),INDEX(Workers!$E$3:$E$51,MATCH(A38,Workers!$A$3:$A$51,0))),"Invalid Worker ID"))</f>
        <v/>
      </c>
      <c r="G38">
        <f>IF(OR(A38="",E38="Invalid Worker ID"),"",E38-F38)</f>
        <v/>
      </c>
      <c r="H38">
        <f>IF(A38="","",IFERROR(INDEX(Workers!$F$3:$F$51,MATCH(A38,Workers!$A$3:$A$51,0)),"Invalid Worker ID"))</f>
        <v/>
      </c>
      <c r="K38">
        <f>A38&amp;"|"&amp;C38</f>
        <v/>
      </c>
    </row>
    <row r="39">
      <c r="B39">
        <f>IF(A39="","",IFERROR(INDEX(Workers!$B$3:$B$51,MATCH(A39,Workers!$A$3:$A$51,0)),"Invalid Worker ID"))</f>
        <v/>
      </c>
      <c r="C39" s="15" t="n"/>
      <c r="E39">
        <f>IF(A39="","",IFERROR(IF(INDEX(Workers!$D$3:$D$51,MATCH(A39,Workers!$A$3:$A$51,0))="Per Day",D39*INDEX(Workers!$E$3:$E$51,MATCH(A39,Workers!$A$3:$A$51,0)),INDEX(Workers!$E$3:$E$51,MATCH(A39,Workers!$A$3:$A$51,0))),"Invalid Worker ID"))</f>
        <v/>
      </c>
      <c r="G39">
        <f>IF(OR(A39="",E39="Invalid Worker ID"),"",E39-F39)</f>
        <v/>
      </c>
      <c r="H39">
        <f>IF(A39="","",IFERROR(INDEX(Workers!$F$3:$F$51,MATCH(A39,Workers!$A$3:$A$51,0)),"Invalid Worker ID"))</f>
        <v/>
      </c>
      <c r="K39">
        <f>A39&amp;"|"&amp;C39</f>
        <v/>
      </c>
    </row>
    <row r="40">
      <c r="B40">
        <f>IF(A40="","",IFERROR(INDEX(Workers!$B$3:$B$51,MATCH(A40,Workers!$A$3:$A$51,0)),"Invalid Worker ID"))</f>
        <v/>
      </c>
      <c r="C40" s="15" t="n"/>
      <c r="E40">
        <f>IF(A40="","",IFERROR(IF(INDEX(Workers!$D$3:$D$51,MATCH(A40,Workers!$A$3:$A$51,0))="Per Day",D40*INDEX(Workers!$E$3:$E$51,MATCH(A40,Workers!$A$3:$A$51,0)),INDEX(Workers!$E$3:$E$51,MATCH(A40,Workers!$A$3:$A$51,0))),"Invalid Worker ID"))</f>
        <v/>
      </c>
      <c r="G40">
        <f>IF(OR(A40="",E40="Invalid Worker ID"),"",E40-F40)</f>
        <v/>
      </c>
      <c r="H40">
        <f>IF(A40="","",IFERROR(INDEX(Workers!$F$3:$F$51,MATCH(A40,Workers!$A$3:$A$51,0)),"Invalid Worker ID"))</f>
        <v/>
      </c>
      <c r="K40">
        <f>A40&amp;"|"&amp;C40</f>
        <v/>
      </c>
    </row>
    <row r="41">
      <c r="B41">
        <f>IF(A41="","",IFERROR(INDEX(Workers!$B$3:$B$51,MATCH(A41,Workers!$A$3:$A$51,0)),"Invalid Worker ID"))</f>
        <v/>
      </c>
      <c r="C41" s="15" t="n"/>
      <c r="E41">
        <f>IF(A41="","",IFERROR(IF(INDEX(Workers!$D$3:$D$51,MATCH(A41,Workers!$A$3:$A$51,0))="Per Day",D41*INDEX(Workers!$E$3:$E$51,MATCH(A41,Workers!$A$3:$A$51,0)),INDEX(Workers!$E$3:$E$51,MATCH(A41,Workers!$A$3:$A$51,0))),"Invalid Worker ID"))</f>
        <v/>
      </c>
      <c r="G41">
        <f>IF(OR(A41="",E41="Invalid Worker ID"),"",E41-F41)</f>
        <v/>
      </c>
      <c r="H41">
        <f>IF(A41="","",IFERROR(INDEX(Workers!$F$3:$F$51,MATCH(A41,Workers!$A$3:$A$51,0)),"Invalid Worker ID"))</f>
        <v/>
      </c>
      <c r="K41">
        <f>A41&amp;"|"&amp;C41</f>
        <v/>
      </c>
    </row>
    <row r="42">
      <c r="B42">
        <f>IF(A42="","",IFERROR(INDEX(Workers!$B$3:$B$51,MATCH(A42,Workers!$A$3:$A$51,0)),"Invalid Worker ID"))</f>
        <v/>
      </c>
      <c r="C42" s="15" t="n"/>
      <c r="E42">
        <f>IF(A42="","",IFERROR(IF(INDEX(Workers!$D$3:$D$51,MATCH(A42,Workers!$A$3:$A$51,0))="Per Day",D42*INDEX(Workers!$E$3:$E$51,MATCH(A42,Workers!$A$3:$A$51,0)),INDEX(Workers!$E$3:$E$51,MATCH(A42,Workers!$A$3:$A$51,0))),"Invalid Worker ID"))</f>
        <v/>
      </c>
      <c r="G42">
        <f>IF(OR(A42="",E42="Invalid Worker ID"),"",E42-F42)</f>
        <v/>
      </c>
      <c r="H42">
        <f>IF(A42="","",IFERROR(INDEX(Workers!$F$3:$F$51,MATCH(A42,Workers!$A$3:$A$51,0)),"Invalid Worker ID"))</f>
        <v/>
      </c>
      <c r="K42">
        <f>A42&amp;"|"&amp;C42</f>
        <v/>
      </c>
    </row>
    <row r="43">
      <c r="B43">
        <f>IF(A43="","",IFERROR(INDEX(Workers!$B$3:$B$51,MATCH(A43,Workers!$A$3:$A$51,0)),"Invalid Worker ID"))</f>
        <v/>
      </c>
      <c r="C43" s="15" t="n"/>
      <c r="E43">
        <f>IF(A43="","",IFERROR(IF(INDEX(Workers!$D$3:$D$51,MATCH(A43,Workers!$A$3:$A$51,0))="Per Day",D43*INDEX(Workers!$E$3:$E$51,MATCH(A43,Workers!$A$3:$A$51,0)),INDEX(Workers!$E$3:$E$51,MATCH(A43,Workers!$A$3:$A$51,0))),"Invalid Worker ID"))</f>
        <v/>
      </c>
      <c r="G43">
        <f>IF(OR(A43="",E43="Invalid Worker ID"),"",E43-F43)</f>
        <v/>
      </c>
      <c r="H43">
        <f>IF(A43="","",IFERROR(INDEX(Workers!$F$3:$F$51,MATCH(A43,Workers!$A$3:$A$51,0)),"Invalid Worker ID"))</f>
        <v/>
      </c>
      <c r="K43">
        <f>A43&amp;"|"&amp;C43</f>
        <v/>
      </c>
    </row>
    <row r="44">
      <c r="B44">
        <f>IF(A44="","",IFERROR(INDEX(Workers!$B$3:$B$51,MATCH(A44,Workers!$A$3:$A$51,0)),"Invalid Worker ID"))</f>
        <v/>
      </c>
      <c r="C44" s="15" t="n"/>
      <c r="E44">
        <f>IF(A44="","",IFERROR(IF(INDEX(Workers!$D$3:$D$51,MATCH(A44,Workers!$A$3:$A$51,0))="Per Day",D44*INDEX(Workers!$E$3:$E$51,MATCH(A44,Workers!$A$3:$A$51,0)),INDEX(Workers!$E$3:$E$51,MATCH(A44,Workers!$A$3:$A$51,0))),"Invalid Worker ID"))</f>
        <v/>
      </c>
      <c r="G44">
        <f>IF(OR(A44="",E44="Invalid Worker ID"),"",E44-F44)</f>
        <v/>
      </c>
      <c r="H44">
        <f>IF(A44="","",IFERROR(INDEX(Workers!$F$3:$F$51,MATCH(A44,Workers!$A$3:$A$51,0)),"Invalid Worker ID"))</f>
        <v/>
      </c>
      <c r="K44">
        <f>A44&amp;"|"&amp;C44</f>
        <v/>
      </c>
    </row>
    <row r="45">
      <c r="B45">
        <f>IF(A45="","",IFERROR(INDEX(Workers!$B$3:$B$51,MATCH(A45,Workers!$A$3:$A$51,0)),"Invalid Worker ID"))</f>
        <v/>
      </c>
      <c r="C45" s="15" t="n"/>
      <c r="E45">
        <f>IF(A45="","",IFERROR(IF(INDEX(Workers!$D$3:$D$51,MATCH(A45,Workers!$A$3:$A$51,0))="Per Day",D45*INDEX(Workers!$E$3:$E$51,MATCH(A45,Workers!$A$3:$A$51,0)),INDEX(Workers!$E$3:$E$51,MATCH(A45,Workers!$A$3:$A$51,0))),"Invalid Worker ID"))</f>
        <v/>
      </c>
      <c r="G45">
        <f>IF(OR(A45="",E45="Invalid Worker ID"),"",E45-F45)</f>
        <v/>
      </c>
      <c r="H45">
        <f>IF(A45="","",IFERROR(INDEX(Workers!$F$3:$F$51,MATCH(A45,Workers!$A$3:$A$51,0)),"Invalid Worker ID"))</f>
        <v/>
      </c>
      <c r="K45">
        <f>A45&amp;"|"&amp;C45</f>
        <v/>
      </c>
    </row>
    <row r="46">
      <c r="B46">
        <f>IF(A46="","",IFERROR(INDEX(Workers!$B$3:$B$51,MATCH(A46,Workers!$A$3:$A$51,0)),"Invalid Worker ID"))</f>
        <v/>
      </c>
      <c r="C46" s="15" t="n"/>
      <c r="E46">
        <f>IF(A46="","",IFERROR(IF(INDEX(Workers!$D$3:$D$51,MATCH(A46,Workers!$A$3:$A$51,0))="Per Day",D46*INDEX(Workers!$E$3:$E$51,MATCH(A46,Workers!$A$3:$A$51,0)),INDEX(Workers!$E$3:$E$51,MATCH(A46,Workers!$A$3:$A$51,0))),"Invalid Worker ID"))</f>
        <v/>
      </c>
      <c r="G46">
        <f>IF(OR(A46="",E46="Invalid Worker ID"),"",E46-F46)</f>
        <v/>
      </c>
      <c r="H46">
        <f>IF(A46="","",IFERROR(INDEX(Workers!$F$3:$F$51,MATCH(A46,Workers!$A$3:$A$51,0)),"Invalid Worker ID"))</f>
        <v/>
      </c>
      <c r="K46">
        <f>A46&amp;"|"&amp;C46</f>
        <v/>
      </c>
    </row>
    <row r="47">
      <c r="B47">
        <f>IF(A47="","",IFERROR(INDEX(Workers!$B$3:$B$51,MATCH(A47,Workers!$A$3:$A$51,0)),"Invalid Worker ID"))</f>
        <v/>
      </c>
      <c r="C47" s="15" t="n"/>
      <c r="E47">
        <f>IF(A47="","",IFERROR(IF(INDEX(Workers!$D$3:$D$51,MATCH(A47,Workers!$A$3:$A$51,0))="Per Day",D47*INDEX(Workers!$E$3:$E$51,MATCH(A47,Workers!$A$3:$A$51,0)),INDEX(Workers!$E$3:$E$51,MATCH(A47,Workers!$A$3:$A$51,0))),"Invalid Worker ID"))</f>
        <v/>
      </c>
      <c r="G47">
        <f>IF(OR(A47="",E47="Invalid Worker ID"),"",E47-F47)</f>
        <v/>
      </c>
      <c r="H47">
        <f>IF(A47="","",IFERROR(INDEX(Workers!$F$3:$F$51,MATCH(A47,Workers!$A$3:$A$51,0)),"Invalid Worker ID"))</f>
        <v/>
      </c>
      <c r="K47">
        <f>A47&amp;"|"&amp;C47</f>
        <v/>
      </c>
    </row>
    <row r="48">
      <c r="B48">
        <f>IF(A48="","",IFERROR(INDEX(Workers!$B$3:$B$51,MATCH(A48,Workers!$A$3:$A$51,0)),"Invalid Worker ID"))</f>
        <v/>
      </c>
      <c r="C48" s="15" t="n"/>
      <c r="E48">
        <f>IF(A48="","",IFERROR(IF(INDEX(Workers!$D$3:$D$51,MATCH(A48,Workers!$A$3:$A$51,0))="Per Day",D48*INDEX(Workers!$E$3:$E$51,MATCH(A48,Workers!$A$3:$A$51,0)),INDEX(Workers!$E$3:$E$51,MATCH(A48,Workers!$A$3:$A$51,0))),"Invalid Worker ID"))</f>
        <v/>
      </c>
      <c r="G48">
        <f>IF(OR(A48="",E48="Invalid Worker ID"),"",E48-F48)</f>
        <v/>
      </c>
      <c r="H48">
        <f>IF(A48="","",IFERROR(INDEX(Workers!$F$3:$F$51,MATCH(A48,Workers!$A$3:$A$51,0)),"Invalid Worker ID"))</f>
        <v/>
      </c>
      <c r="K48">
        <f>A48&amp;"|"&amp;C48</f>
        <v/>
      </c>
    </row>
    <row r="49">
      <c r="B49">
        <f>IF(A49="","",IFERROR(INDEX(Workers!$B$3:$B$51,MATCH(A49,Workers!$A$3:$A$51,0)),"Invalid Worker ID"))</f>
        <v/>
      </c>
      <c r="C49" s="15" t="n"/>
      <c r="E49">
        <f>IF(A49="","",IFERROR(IF(INDEX(Workers!$D$3:$D$51,MATCH(A49,Workers!$A$3:$A$51,0))="Per Day",D49*INDEX(Workers!$E$3:$E$51,MATCH(A49,Workers!$A$3:$A$51,0)),INDEX(Workers!$E$3:$E$51,MATCH(A49,Workers!$A$3:$A$51,0))),"Invalid Worker ID"))</f>
        <v/>
      </c>
      <c r="G49">
        <f>IF(OR(A49="",E49="Invalid Worker ID"),"",E49-F49)</f>
        <v/>
      </c>
      <c r="H49">
        <f>IF(A49="","",IFERROR(INDEX(Workers!$F$3:$F$51,MATCH(A49,Workers!$A$3:$A$51,0)),"Invalid Worker ID"))</f>
        <v/>
      </c>
      <c r="K49">
        <f>A49&amp;"|"&amp;C49</f>
        <v/>
      </c>
    </row>
    <row r="50">
      <c r="B50">
        <f>IF(A50="","",IFERROR(INDEX(Workers!$B$3:$B$51,MATCH(A50,Workers!$A$3:$A$51,0)),"Invalid Worker ID"))</f>
        <v/>
      </c>
      <c r="C50" s="15" t="n"/>
      <c r="E50">
        <f>IF(A50="","",IFERROR(IF(INDEX(Workers!$D$3:$D$51,MATCH(A50,Workers!$A$3:$A$51,0))="Per Day",D50*INDEX(Workers!$E$3:$E$51,MATCH(A50,Workers!$A$3:$A$51,0)),INDEX(Workers!$E$3:$E$51,MATCH(A50,Workers!$A$3:$A$51,0))),"Invalid Worker ID"))</f>
        <v/>
      </c>
      <c r="G50">
        <f>IF(OR(A50="",E50="Invalid Worker ID"),"",E50-F50)</f>
        <v/>
      </c>
      <c r="H50">
        <f>IF(A50="","",IFERROR(INDEX(Workers!$F$3:$F$51,MATCH(A50,Workers!$A$3:$A$51,0)),"Invalid Worker ID"))</f>
        <v/>
      </c>
      <c r="K50">
        <f>A50&amp;"|"&amp;C50</f>
        <v/>
      </c>
    </row>
    <row r="51">
      <c r="B51">
        <f>IF(A51="","",IFERROR(INDEX(Workers!$B$3:$B$51,MATCH(A51,Workers!$A$3:$A$51,0)),"Invalid Worker ID"))</f>
        <v/>
      </c>
      <c r="C51" s="15" t="n"/>
      <c r="E51">
        <f>IF(A51="","",IFERROR(IF(INDEX(Workers!$D$3:$D$51,MATCH(A51,Workers!$A$3:$A$51,0))="Per Day",D51*INDEX(Workers!$E$3:$E$51,MATCH(A51,Workers!$A$3:$A$51,0)),INDEX(Workers!$E$3:$E$51,MATCH(A51,Workers!$A$3:$A$51,0))),"Invalid Worker ID"))</f>
        <v/>
      </c>
      <c r="G51">
        <f>IF(OR(A51="",E51="Invalid Worker ID"),"",E51-F51)</f>
        <v/>
      </c>
      <c r="H51">
        <f>IF(A51="","",IFERROR(INDEX(Workers!$F$3:$F$51,MATCH(A51,Workers!$A$3:$A$51,0)),"Invalid Worker ID"))</f>
        <v/>
      </c>
      <c r="K51">
        <f>A51&amp;"|"&amp;C51</f>
        <v/>
      </c>
    </row>
    <row r="52">
      <c r="B52">
        <f>IF(A52="","",IFERROR(INDEX(Workers!$B$3:$B$51,MATCH(A52,Workers!$A$3:$A$51,0)),"Invalid Worker ID"))</f>
        <v/>
      </c>
      <c r="C52" s="15" t="n"/>
      <c r="E52">
        <f>IF(A52="","",IFERROR(IF(INDEX(Workers!$D$3:$D$51,MATCH(A52,Workers!$A$3:$A$51,0))="Per Day",D52*INDEX(Workers!$E$3:$E$51,MATCH(A52,Workers!$A$3:$A$51,0)),INDEX(Workers!$E$3:$E$51,MATCH(A52,Workers!$A$3:$A$51,0))),"Invalid Worker ID"))</f>
        <v/>
      </c>
      <c r="G52">
        <f>IF(OR(A52="",E52="Invalid Worker ID"),"",E52-F52)</f>
        <v/>
      </c>
      <c r="H52">
        <f>IF(A52="","",IFERROR(INDEX(Workers!$F$3:$F$51,MATCH(A52,Workers!$A$3:$A$51,0)),"Invalid Worker ID"))</f>
        <v/>
      </c>
      <c r="K52">
        <f>A52&amp;"|"&amp;C52</f>
        <v/>
      </c>
    </row>
    <row r="53">
      <c r="B53">
        <f>IF(A53="","",IFERROR(INDEX(Workers!$B$3:$B$51,MATCH(A53,Workers!$A$3:$A$51,0)),"Invalid Worker ID"))</f>
        <v/>
      </c>
      <c r="C53" s="15" t="n"/>
      <c r="E53">
        <f>IF(A53="","",IFERROR(IF(INDEX(Workers!$D$3:$D$51,MATCH(A53,Workers!$A$3:$A$51,0))="Per Day",D53*INDEX(Workers!$E$3:$E$51,MATCH(A53,Workers!$A$3:$A$51,0)),INDEX(Workers!$E$3:$E$51,MATCH(A53,Workers!$A$3:$A$51,0))),"Invalid Worker ID"))</f>
        <v/>
      </c>
      <c r="G53">
        <f>IF(OR(A53="",E53="Invalid Worker ID"),"",E53-F53)</f>
        <v/>
      </c>
      <c r="H53">
        <f>IF(A53="","",IFERROR(INDEX(Workers!$F$3:$F$51,MATCH(A53,Workers!$A$3:$A$51,0)),"Invalid Worker ID"))</f>
        <v/>
      </c>
      <c r="K53">
        <f>A53&amp;"|"&amp;C53</f>
        <v/>
      </c>
    </row>
    <row r="54">
      <c r="B54">
        <f>IF(A54="","",IFERROR(INDEX(Workers!$B$3:$B$51,MATCH(A54,Workers!$A$3:$A$51,0)),"Invalid Worker ID"))</f>
        <v/>
      </c>
      <c r="C54" s="15" t="n"/>
      <c r="E54">
        <f>IF(A54="","",IFERROR(IF(INDEX(Workers!$D$3:$D$51,MATCH(A54,Workers!$A$3:$A$51,0))="Per Day",D54*INDEX(Workers!$E$3:$E$51,MATCH(A54,Workers!$A$3:$A$51,0)),INDEX(Workers!$E$3:$E$51,MATCH(A54,Workers!$A$3:$A$51,0))),"Invalid Worker ID"))</f>
        <v/>
      </c>
      <c r="G54">
        <f>IF(OR(A54="",E54="Invalid Worker ID"),"",E54-F54)</f>
        <v/>
      </c>
      <c r="H54">
        <f>IF(A54="","",IFERROR(INDEX(Workers!$F$3:$F$51,MATCH(A54,Workers!$A$3:$A$51,0)),"Invalid Worker ID"))</f>
        <v/>
      </c>
      <c r="K54">
        <f>A54&amp;"|"&amp;C54</f>
        <v/>
      </c>
    </row>
    <row r="55">
      <c r="B55">
        <f>IF(A55="","",IFERROR(INDEX(Workers!$B$3:$B$51,MATCH(A55,Workers!$A$3:$A$51,0)),"Invalid Worker ID"))</f>
        <v/>
      </c>
      <c r="C55" s="15" t="n"/>
      <c r="E55">
        <f>IF(A55="","",IFERROR(IF(INDEX(Workers!$D$3:$D$51,MATCH(A55,Workers!$A$3:$A$51,0))="Per Day",D55*INDEX(Workers!$E$3:$E$51,MATCH(A55,Workers!$A$3:$A$51,0)),INDEX(Workers!$E$3:$E$51,MATCH(A55,Workers!$A$3:$A$51,0))),"Invalid Worker ID"))</f>
        <v/>
      </c>
      <c r="G55">
        <f>IF(OR(A55="",E55="Invalid Worker ID"),"",E55-F55)</f>
        <v/>
      </c>
      <c r="H55">
        <f>IF(A55="","",IFERROR(INDEX(Workers!$F$3:$F$51,MATCH(A55,Workers!$A$3:$A$51,0)),"Invalid Worker ID"))</f>
        <v/>
      </c>
      <c r="K55">
        <f>A55&amp;"|"&amp;C55</f>
        <v/>
      </c>
    </row>
    <row r="56">
      <c r="B56">
        <f>IF(A56="","",IFERROR(INDEX(Workers!$B$3:$B$51,MATCH(A56,Workers!$A$3:$A$51,0)),"Invalid Worker ID"))</f>
        <v/>
      </c>
      <c r="C56" s="15" t="n"/>
      <c r="E56">
        <f>IF(A56="","",IFERROR(IF(INDEX(Workers!$D$3:$D$51,MATCH(A56,Workers!$A$3:$A$51,0))="Per Day",D56*INDEX(Workers!$E$3:$E$51,MATCH(A56,Workers!$A$3:$A$51,0)),INDEX(Workers!$E$3:$E$51,MATCH(A56,Workers!$A$3:$A$51,0))),"Invalid Worker ID"))</f>
        <v/>
      </c>
      <c r="G56">
        <f>IF(OR(A56="",E56="Invalid Worker ID"),"",E56-F56)</f>
        <v/>
      </c>
      <c r="H56">
        <f>IF(A56="","",IFERROR(INDEX(Workers!$F$3:$F$51,MATCH(A56,Workers!$A$3:$A$51,0)),"Invalid Worker ID"))</f>
        <v/>
      </c>
      <c r="K56">
        <f>A56&amp;"|"&amp;C56</f>
        <v/>
      </c>
    </row>
    <row r="57">
      <c r="B57">
        <f>IF(A57="","",IFERROR(INDEX(Workers!$B$3:$B$51,MATCH(A57,Workers!$A$3:$A$51,0)),"Invalid Worker ID"))</f>
        <v/>
      </c>
      <c r="C57" s="15" t="n"/>
      <c r="E57">
        <f>IF(A57="","",IFERROR(IF(INDEX(Workers!$D$3:$D$51,MATCH(A57,Workers!$A$3:$A$51,0))="Per Day",D57*INDEX(Workers!$E$3:$E$51,MATCH(A57,Workers!$A$3:$A$51,0)),INDEX(Workers!$E$3:$E$51,MATCH(A57,Workers!$A$3:$A$51,0))),"Invalid Worker ID"))</f>
        <v/>
      </c>
      <c r="G57">
        <f>IF(OR(A57="",E57="Invalid Worker ID"),"",E57-F57)</f>
        <v/>
      </c>
      <c r="H57">
        <f>IF(A57="","",IFERROR(INDEX(Workers!$F$3:$F$51,MATCH(A57,Workers!$A$3:$A$51,0)),"Invalid Worker ID"))</f>
        <v/>
      </c>
      <c r="K57">
        <f>A57&amp;"|"&amp;C57</f>
        <v/>
      </c>
    </row>
    <row r="58">
      <c r="B58">
        <f>IF(A58="","",IFERROR(INDEX(Workers!$B$3:$B$51,MATCH(A58,Workers!$A$3:$A$51,0)),"Invalid Worker ID"))</f>
        <v/>
      </c>
      <c r="C58" s="15" t="n"/>
      <c r="E58">
        <f>IF(A58="","",IFERROR(IF(INDEX(Workers!$D$3:$D$51,MATCH(A58,Workers!$A$3:$A$51,0))="Per Day",D58*INDEX(Workers!$E$3:$E$51,MATCH(A58,Workers!$A$3:$A$51,0)),INDEX(Workers!$E$3:$E$51,MATCH(A58,Workers!$A$3:$A$51,0))),"Invalid Worker ID"))</f>
        <v/>
      </c>
      <c r="G58">
        <f>IF(OR(A58="",E58="Invalid Worker ID"),"",E58-F58)</f>
        <v/>
      </c>
      <c r="H58">
        <f>IF(A58="","",IFERROR(INDEX(Workers!$F$3:$F$51,MATCH(A58,Workers!$A$3:$A$51,0)),"Invalid Worker ID"))</f>
        <v/>
      </c>
      <c r="K58">
        <f>A58&amp;"|"&amp;C58</f>
        <v/>
      </c>
    </row>
    <row r="59">
      <c r="B59">
        <f>IF(A59="","",IFERROR(INDEX(Workers!$B$3:$B$51,MATCH(A59,Workers!$A$3:$A$51,0)),"Invalid Worker ID"))</f>
        <v/>
      </c>
      <c r="C59" s="15" t="n"/>
      <c r="E59">
        <f>IF(A59="","",IFERROR(IF(INDEX(Workers!$D$3:$D$51,MATCH(A59,Workers!$A$3:$A$51,0))="Per Day",D59*INDEX(Workers!$E$3:$E$51,MATCH(A59,Workers!$A$3:$A$51,0)),INDEX(Workers!$E$3:$E$51,MATCH(A59,Workers!$A$3:$A$51,0))),"Invalid Worker ID"))</f>
        <v/>
      </c>
      <c r="G59">
        <f>IF(OR(A59="",E59="Invalid Worker ID"),"",E59-F59)</f>
        <v/>
      </c>
      <c r="H59">
        <f>IF(A59="","",IFERROR(INDEX(Workers!$F$3:$F$51,MATCH(A59,Workers!$A$3:$A$51,0)),"Invalid Worker ID"))</f>
        <v/>
      </c>
      <c r="K59">
        <f>A59&amp;"|"&amp;C59</f>
        <v/>
      </c>
    </row>
    <row r="60">
      <c r="B60">
        <f>IF(A60="","",IFERROR(INDEX(Workers!$B$3:$B$51,MATCH(A60,Workers!$A$3:$A$51,0)),"Invalid Worker ID"))</f>
        <v/>
      </c>
      <c r="C60" s="15" t="n"/>
      <c r="E60">
        <f>IF(A60="","",IFERROR(IF(INDEX(Workers!$D$3:$D$51,MATCH(A60,Workers!$A$3:$A$51,0))="Per Day",D60*INDEX(Workers!$E$3:$E$51,MATCH(A60,Workers!$A$3:$A$51,0)),INDEX(Workers!$E$3:$E$51,MATCH(A60,Workers!$A$3:$A$51,0))),"Invalid Worker ID"))</f>
        <v/>
      </c>
      <c r="G60">
        <f>IF(OR(A60="",E60="Invalid Worker ID"),"",E60-F60)</f>
        <v/>
      </c>
      <c r="H60">
        <f>IF(A60="","",IFERROR(INDEX(Workers!$F$3:$F$51,MATCH(A60,Workers!$A$3:$A$51,0)),"Invalid Worker ID"))</f>
        <v/>
      </c>
      <c r="K60">
        <f>A60&amp;"|"&amp;C60</f>
        <v/>
      </c>
    </row>
    <row r="61">
      <c r="B61">
        <f>IF(A61="","",IFERROR(INDEX(Workers!$B$3:$B$51,MATCH(A61,Workers!$A$3:$A$51,0)),"Invalid Worker ID"))</f>
        <v/>
      </c>
      <c r="C61" s="15" t="n"/>
      <c r="E61">
        <f>IF(A61="","",IFERROR(IF(INDEX(Workers!$D$3:$D$51,MATCH(A61,Workers!$A$3:$A$51,0))="Per Day",D61*INDEX(Workers!$E$3:$E$51,MATCH(A61,Workers!$A$3:$A$51,0)),INDEX(Workers!$E$3:$E$51,MATCH(A61,Workers!$A$3:$A$51,0))),"Invalid Worker ID"))</f>
        <v/>
      </c>
      <c r="G61">
        <f>IF(OR(A61="",E61="Invalid Worker ID"),"",E61-F61)</f>
        <v/>
      </c>
      <c r="H61">
        <f>IF(A61="","",IFERROR(INDEX(Workers!$F$3:$F$51,MATCH(A61,Workers!$A$3:$A$51,0)),"Invalid Worker ID"))</f>
        <v/>
      </c>
      <c r="K61">
        <f>A61&amp;"|"&amp;C61</f>
        <v/>
      </c>
    </row>
    <row r="62">
      <c r="B62">
        <f>IF(A62="","",IFERROR(INDEX(Workers!$B$3:$B$51,MATCH(A62,Workers!$A$3:$A$51,0)),"Invalid Worker ID"))</f>
        <v/>
      </c>
      <c r="C62" s="15" t="n"/>
      <c r="E62">
        <f>IF(A62="","",IFERROR(IF(INDEX(Workers!$D$3:$D$51,MATCH(A62,Workers!$A$3:$A$51,0))="Per Day",D62*INDEX(Workers!$E$3:$E$51,MATCH(A62,Workers!$A$3:$A$51,0)),INDEX(Workers!$E$3:$E$51,MATCH(A62,Workers!$A$3:$A$51,0))),"Invalid Worker ID"))</f>
        <v/>
      </c>
      <c r="G62">
        <f>IF(OR(A62="",E62="Invalid Worker ID"),"",E62-F62)</f>
        <v/>
      </c>
      <c r="H62">
        <f>IF(A62="","",IFERROR(INDEX(Workers!$F$3:$F$51,MATCH(A62,Workers!$A$3:$A$51,0)),"Invalid Worker ID"))</f>
        <v/>
      </c>
      <c r="K62">
        <f>A62&amp;"|"&amp;C62</f>
        <v/>
      </c>
    </row>
    <row r="63">
      <c r="B63">
        <f>IF(A63="","",IFERROR(INDEX(Workers!$B$3:$B$51,MATCH(A63,Workers!$A$3:$A$51,0)),"Invalid Worker ID"))</f>
        <v/>
      </c>
      <c r="C63" s="15" t="n"/>
      <c r="E63">
        <f>IF(A63="","",IFERROR(IF(INDEX(Workers!$D$3:$D$51,MATCH(A63,Workers!$A$3:$A$51,0))="Per Day",D63*INDEX(Workers!$E$3:$E$51,MATCH(A63,Workers!$A$3:$A$51,0)),INDEX(Workers!$E$3:$E$51,MATCH(A63,Workers!$A$3:$A$51,0))),"Invalid Worker ID"))</f>
        <v/>
      </c>
      <c r="G63">
        <f>IF(OR(A63="",E63="Invalid Worker ID"),"",E63-F63)</f>
        <v/>
      </c>
      <c r="H63">
        <f>IF(A63="","",IFERROR(INDEX(Workers!$F$3:$F$51,MATCH(A63,Workers!$A$3:$A$51,0)),"Invalid Worker ID"))</f>
        <v/>
      </c>
      <c r="K63">
        <f>A63&amp;"|"&amp;C63</f>
        <v/>
      </c>
    </row>
    <row r="64">
      <c r="B64">
        <f>IF(A64="","",IFERROR(INDEX(Workers!$B$3:$B$51,MATCH(A64,Workers!$A$3:$A$51,0)),"Invalid Worker ID"))</f>
        <v/>
      </c>
      <c r="C64" s="15" t="n"/>
      <c r="E64">
        <f>IF(A64="","",IFERROR(IF(INDEX(Workers!$D$3:$D$51,MATCH(A64,Workers!$A$3:$A$51,0))="Per Day",D64*INDEX(Workers!$E$3:$E$51,MATCH(A64,Workers!$A$3:$A$51,0)),INDEX(Workers!$E$3:$E$51,MATCH(A64,Workers!$A$3:$A$51,0))),"Invalid Worker ID"))</f>
        <v/>
      </c>
      <c r="G64">
        <f>IF(OR(A64="",E64="Invalid Worker ID"),"",E64-F64)</f>
        <v/>
      </c>
      <c r="H64">
        <f>IF(A64="","",IFERROR(INDEX(Workers!$F$3:$F$51,MATCH(A64,Workers!$A$3:$A$51,0)),"Invalid Worker ID"))</f>
        <v/>
      </c>
      <c r="K64">
        <f>A64&amp;"|"&amp;C64</f>
        <v/>
      </c>
    </row>
    <row r="65">
      <c r="B65">
        <f>IF(A65="","",IFERROR(INDEX(Workers!$B$3:$B$51,MATCH(A65,Workers!$A$3:$A$51,0)),"Invalid Worker ID"))</f>
        <v/>
      </c>
      <c r="C65" s="15" t="n"/>
      <c r="E65">
        <f>IF(A65="","",IFERROR(IF(INDEX(Workers!$D$3:$D$51,MATCH(A65,Workers!$A$3:$A$51,0))="Per Day",D65*INDEX(Workers!$E$3:$E$51,MATCH(A65,Workers!$A$3:$A$51,0)),INDEX(Workers!$E$3:$E$51,MATCH(A65,Workers!$A$3:$A$51,0))),"Invalid Worker ID"))</f>
        <v/>
      </c>
      <c r="G65">
        <f>IF(OR(A65="",E65="Invalid Worker ID"),"",E65-F65)</f>
        <v/>
      </c>
      <c r="H65">
        <f>IF(A65="","",IFERROR(INDEX(Workers!$F$3:$F$51,MATCH(A65,Workers!$A$3:$A$51,0)),"Invalid Worker ID"))</f>
        <v/>
      </c>
      <c r="K65">
        <f>A65&amp;"|"&amp;C65</f>
        <v/>
      </c>
    </row>
    <row r="66">
      <c r="B66">
        <f>IF(A66="","",IFERROR(INDEX(Workers!$B$3:$B$51,MATCH(A66,Workers!$A$3:$A$51,0)),"Invalid Worker ID"))</f>
        <v/>
      </c>
      <c r="C66" s="15" t="n"/>
      <c r="E66">
        <f>IF(A66="","",IFERROR(IF(INDEX(Workers!$D$3:$D$51,MATCH(A66,Workers!$A$3:$A$51,0))="Per Day",D66*INDEX(Workers!$E$3:$E$51,MATCH(A66,Workers!$A$3:$A$51,0)),INDEX(Workers!$E$3:$E$51,MATCH(A66,Workers!$A$3:$A$51,0))),"Invalid Worker ID"))</f>
        <v/>
      </c>
      <c r="G66">
        <f>IF(OR(A66="",E66="Invalid Worker ID"),"",E66-F66)</f>
        <v/>
      </c>
      <c r="H66">
        <f>IF(A66="","",IFERROR(INDEX(Workers!$F$3:$F$51,MATCH(A66,Workers!$A$3:$A$51,0)),"Invalid Worker ID"))</f>
        <v/>
      </c>
      <c r="K66">
        <f>A66&amp;"|"&amp;C66</f>
        <v/>
      </c>
    </row>
    <row r="67">
      <c r="B67">
        <f>IF(A67="","",IFERROR(INDEX(Workers!$B$3:$B$51,MATCH(A67,Workers!$A$3:$A$51,0)),"Invalid Worker ID"))</f>
        <v/>
      </c>
      <c r="C67" s="15" t="n"/>
      <c r="E67">
        <f>IF(A67="","",IFERROR(IF(INDEX(Workers!$D$3:$D$51,MATCH(A67,Workers!$A$3:$A$51,0))="Per Day",D67*INDEX(Workers!$E$3:$E$51,MATCH(A67,Workers!$A$3:$A$51,0)),INDEX(Workers!$E$3:$E$51,MATCH(A67,Workers!$A$3:$A$51,0))),"Invalid Worker ID"))</f>
        <v/>
      </c>
      <c r="G67">
        <f>IF(OR(A67="",E67="Invalid Worker ID"),"",E67-F67)</f>
        <v/>
      </c>
      <c r="H67">
        <f>IF(A67="","",IFERROR(INDEX(Workers!$F$3:$F$51,MATCH(A67,Workers!$A$3:$A$51,0)),"Invalid Worker ID"))</f>
        <v/>
      </c>
      <c r="K67">
        <f>A67&amp;"|"&amp;C67</f>
        <v/>
      </c>
    </row>
    <row r="68">
      <c r="B68">
        <f>IF(A68="","",IFERROR(INDEX(Workers!$B$3:$B$51,MATCH(A68,Workers!$A$3:$A$51,0)),"Invalid Worker ID"))</f>
        <v/>
      </c>
      <c r="C68" s="15" t="n"/>
      <c r="E68">
        <f>IF(A68="","",IFERROR(IF(INDEX(Workers!$D$3:$D$51,MATCH(A68,Workers!$A$3:$A$51,0))="Per Day",D68*INDEX(Workers!$E$3:$E$51,MATCH(A68,Workers!$A$3:$A$51,0)),INDEX(Workers!$E$3:$E$51,MATCH(A68,Workers!$A$3:$A$51,0))),"Invalid Worker ID"))</f>
        <v/>
      </c>
      <c r="G68">
        <f>IF(OR(A68="",E68="Invalid Worker ID"),"",E68-F68)</f>
        <v/>
      </c>
      <c r="H68">
        <f>IF(A68="","",IFERROR(INDEX(Workers!$F$3:$F$51,MATCH(A68,Workers!$A$3:$A$51,0)),"Invalid Worker ID"))</f>
        <v/>
      </c>
      <c r="K68">
        <f>A68&amp;"|"&amp;C68</f>
        <v/>
      </c>
    </row>
    <row r="69">
      <c r="B69">
        <f>IF(A69="","",IFERROR(INDEX(Workers!$B$3:$B$51,MATCH(A69,Workers!$A$3:$A$51,0)),"Invalid Worker ID"))</f>
        <v/>
      </c>
      <c r="C69" s="15" t="n"/>
      <c r="E69">
        <f>IF(A69="","",IFERROR(IF(INDEX(Workers!$D$3:$D$51,MATCH(A69,Workers!$A$3:$A$51,0))="Per Day",D69*INDEX(Workers!$E$3:$E$51,MATCH(A69,Workers!$A$3:$A$51,0)),INDEX(Workers!$E$3:$E$51,MATCH(A69,Workers!$A$3:$A$51,0))),"Invalid Worker ID"))</f>
        <v/>
      </c>
      <c r="G69">
        <f>IF(OR(A69="",E69="Invalid Worker ID"),"",E69-F69)</f>
        <v/>
      </c>
      <c r="H69">
        <f>IF(A69="","",IFERROR(INDEX(Workers!$F$3:$F$51,MATCH(A69,Workers!$A$3:$A$51,0)),"Invalid Worker ID"))</f>
        <v/>
      </c>
      <c r="K69">
        <f>A69&amp;"|"&amp;C69</f>
        <v/>
      </c>
    </row>
    <row r="70">
      <c r="B70">
        <f>IF(A70="","",IFERROR(INDEX(Workers!$B$3:$B$51,MATCH(A70,Workers!$A$3:$A$51,0)),"Invalid Worker ID"))</f>
        <v/>
      </c>
      <c r="C70" s="15" t="n"/>
      <c r="E70">
        <f>IF(A70="","",IFERROR(IF(INDEX(Workers!$D$3:$D$51,MATCH(A70,Workers!$A$3:$A$51,0))="Per Day",D70*INDEX(Workers!$E$3:$E$51,MATCH(A70,Workers!$A$3:$A$51,0)),INDEX(Workers!$E$3:$E$51,MATCH(A70,Workers!$A$3:$A$51,0))),"Invalid Worker ID"))</f>
        <v/>
      </c>
      <c r="G70">
        <f>IF(OR(A70="",E70="Invalid Worker ID"),"",E70-F70)</f>
        <v/>
      </c>
      <c r="H70">
        <f>IF(A70="","",IFERROR(INDEX(Workers!$F$3:$F$51,MATCH(A70,Workers!$A$3:$A$51,0)),"Invalid Worker ID"))</f>
        <v/>
      </c>
      <c r="K70">
        <f>A70&amp;"|"&amp;C70</f>
        <v/>
      </c>
    </row>
    <row r="71">
      <c r="B71">
        <f>IF(A71="","",IFERROR(INDEX(Workers!$B$3:$B$51,MATCH(A71,Workers!$A$3:$A$51,0)),"Invalid Worker ID"))</f>
        <v/>
      </c>
      <c r="C71" s="15" t="n"/>
      <c r="E71">
        <f>IF(A71="","",IFERROR(IF(INDEX(Workers!$D$3:$D$51,MATCH(A71,Workers!$A$3:$A$51,0))="Per Day",D71*INDEX(Workers!$E$3:$E$51,MATCH(A71,Workers!$A$3:$A$51,0)),INDEX(Workers!$E$3:$E$51,MATCH(A71,Workers!$A$3:$A$51,0))),"Invalid Worker ID"))</f>
        <v/>
      </c>
      <c r="G71">
        <f>IF(OR(A71="",E71="Invalid Worker ID"),"",E71-F71)</f>
        <v/>
      </c>
      <c r="H71">
        <f>IF(A71="","",IFERROR(INDEX(Workers!$F$3:$F$51,MATCH(A71,Workers!$A$3:$A$51,0)),"Invalid Worker ID"))</f>
        <v/>
      </c>
      <c r="K71">
        <f>A71&amp;"|"&amp;C71</f>
        <v/>
      </c>
    </row>
    <row r="72">
      <c r="B72">
        <f>IF(A72="","",IFERROR(INDEX(Workers!$B$3:$B$51,MATCH(A72,Workers!$A$3:$A$51,0)),"Invalid Worker ID"))</f>
        <v/>
      </c>
      <c r="C72" s="15" t="n"/>
      <c r="E72">
        <f>IF(A72="","",IFERROR(IF(INDEX(Workers!$D$3:$D$51,MATCH(A72,Workers!$A$3:$A$51,0))="Per Day",D72*INDEX(Workers!$E$3:$E$51,MATCH(A72,Workers!$A$3:$A$51,0)),INDEX(Workers!$E$3:$E$51,MATCH(A72,Workers!$A$3:$A$51,0))),"Invalid Worker ID"))</f>
        <v/>
      </c>
      <c r="G72">
        <f>IF(OR(A72="",E72="Invalid Worker ID"),"",E72-F72)</f>
        <v/>
      </c>
      <c r="H72">
        <f>IF(A72="","",IFERROR(INDEX(Workers!$F$3:$F$51,MATCH(A72,Workers!$A$3:$A$51,0)),"Invalid Worker ID"))</f>
        <v/>
      </c>
      <c r="K72">
        <f>A72&amp;"|"&amp;C72</f>
        <v/>
      </c>
    </row>
    <row r="73">
      <c r="B73">
        <f>IF(A73="","",IFERROR(INDEX(Workers!$B$3:$B$51,MATCH(A73,Workers!$A$3:$A$51,0)),"Invalid Worker ID"))</f>
        <v/>
      </c>
      <c r="C73" s="15" t="n"/>
      <c r="E73">
        <f>IF(A73="","",IFERROR(IF(INDEX(Workers!$D$3:$D$51,MATCH(A73,Workers!$A$3:$A$51,0))="Per Day",D73*INDEX(Workers!$E$3:$E$51,MATCH(A73,Workers!$A$3:$A$51,0)),INDEX(Workers!$E$3:$E$51,MATCH(A73,Workers!$A$3:$A$51,0))),"Invalid Worker ID"))</f>
        <v/>
      </c>
      <c r="G73">
        <f>IF(OR(A73="",E73="Invalid Worker ID"),"",E73-F73)</f>
        <v/>
      </c>
      <c r="H73">
        <f>IF(A73="","",IFERROR(INDEX(Workers!$F$3:$F$51,MATCH(A73,Workers!$A$3:$A$51,0)),"Invalid Worker ID"))</f>
        <v/>
      </c>
      <c r="K73">
        <f>A73&amp;"|"&amp;C73</f>
        <v/>
      </c>
    </row>
    <row r="74">
      <c r="B74">
        <f>IF(A74="","",IFERROR(INDEX(Workers!$B$3:$B$51,MATCH(A74,Workers!$A$3:$A$51,0)),"Invalid Worker ID"))</f>
        <v/>
      </c>
      <c r="C74" s="15" t="n"/>
      <c r="E74">
        <f>IF(A74="","",IFERROR(IF(INDEX(Workers!$D$3:$D$51,MATCH(A74,Workers!$A$3:$A$51,0))="Per Day",D74*INDEX(Workers!$E$3:$E$51,MATCH(A74,Workers!$A$3:$A$51,0)),INDEX(Workers!$E$3:$E$51,MATCH(A74,Workers!$A$3:$A$51,0))),"Invalid Worker ID"))</f>
        <v/>
      </c>
      <c r="G74">
        <f>IF(OR(A74="",E74="Invalid Worker ID"),"",E74-F74)</f>
        <v/>
      </c>
      <c r="H74">
        <f>IF(A74="","",IFERROR(INDEX(Workers!$F$3:$F$51,MATCH(A74,Workers!$A$3:$A$51,0)),"Invalid Worker ID"))</f>
        <v/>
      </c>
      <c r="K74">
        <f>A74&amp;"|"&amp;C74</f>
        <v/>
      </c>
    </row>
    <row r="75">
      <c r="B75">
        <f>IF(A75="","",IFERROR(INDEX(Workers!$B$3:$B$51,MATCH(A75,Workers!$A$3:$A$51,0)),"Invalid Worker ID"))</f>
        <v/>
      </c>
      <c r="C75" s="15" t="n"/>
      <c r="E75">
        <f>IF(A75="","",IFERROR(IF(INDEX(Workers!$D$3:$D$51,MATCH(A75,Workers!$A$3:$A$51,0))="Per Day",D75*INDEX(Workers!$E$3:$E$51,MATCH(A75,Workers!$A$3:$A$51,0)),INDEX(Workers!$E$3:$E$51,MATCH(A75,Workers!$A$3:$A$51,0))),"Invalid Worker ID"))</f>
        <v/>
      </c>
      <c r="G75">
        <f>IF(OR(A75="",E75="Invalid Worker ID"),"",E75-F75)</f>
        <v/>
      </c>
      <c r="H75">
        <f>IF(A75="","",IFERROR(INDEX(Workers!$F$3:$F$51,MATCH(A75,Workers!$A$3:$A$51,0)),"Invalid Worker ID"))</f>
        <v/>
      </c>
      <c r="K75">
        <f>A75&amp;"|"&amp;C75</f>
        <v/>
      </c>
    </row>
    <row r="76">
      <c r="B76">
        <f>IF(A76="","",IFERROR(INDEX(Workers!$B$3:$B$51,MATCH(A76,Workers!$A$3:$A$51,0)),"Invalid Worker ID"))</f>
        <v/>
      </c>
      <c r="C76" s="15" t="n"/>
      <c r="E76">
        <f>IF(A76="","",IFERROR(IF(INDEX(Workers!$D$3:$D$51,MATCH(A76,Workers!$A$3:$A$51,0))="Per Day",D76*INDEX(Workers!$E$3:$E$51,MATCH(A76,Workers!$A$3:$A$51,0)),INDEX(Workers!$E$3:$E$51,MATCH(A76,Workers!$A$3:$A$51,0))),"Invalid Worker ID"))</f>
        <v/>
      </c>
      <c r="G76">
        <f>IF(OR(A76="",E76="Invalid Worker ID"),"",E76-F76)</f>
        <v/>
      </c>
      <c r="H76">
        <f>IF(A76="","",IFERROR(INDEX(Workers!$F$3:$F$51,MATCH(A76,Workers!$A$3:$A$51,0)),"Invalid Worker ID"))</f>
        <v/>
      </c>
      <c r="K76">
        <f>A76&amp;"|"&amp;C76</f>
        <v/>
      </c>
    </row>
    <row r="77">
      <c r="B77">
        <f>IF(A77="","",IFERROR(INDEX(Workers!$B$3:$B$51,MATCH(A77,Workers!$A$3:$A$51,0)),"Invalid Worker ID"))</f>
        <v/>
      </c>
      <c r="C77" s="15" t="n"/>
      <c r="E77">
        <f>IF(A77="","",IFERROR(IF(INDEX(Workers!$D$3:$D$51,MATCH(A77,Workers!$A$3:$A$51,0))="Per Day",D77*INDEX(Workers!$E$3:$E$51,MATCH(A77,Workers!$A$3:$A$51,0)),INDEX(Workers!$E$3:$E$51,MATCH(A77,Workers!$A$3:$A$51,0))),"Invalid Worker ID"))</f>
        <v/>
      </c>
      <c r="G77">
        <f>IF(OR(A77="",E77="Invalid Worker ID"),"",E77-F77)</f>
        <v/>
      </c>
      <c r="H77">
        <f>IF(A77="","",IFERROR(INDEX(Workers!$F$3:$F$51,MATCH(A77,Workers!$A$3:$A$51,0)),"Invalid Worker ID"))</f>
        <v/>
      </c>
      <c r="K77">
        <f>A77&amp;"|"&amp;C77</f>
        <v/>
      </c>
    </row>
    <row r="78">
      <c r="B78">
        <f>IF(A78="","",IFERROR(INDEX(Workers!$B$3:$B$51,MATCH(A78,Workers!$A$3:$A$51,0)),"Invalid Worker ID"))</f>
        <v/>
      </c>
      <c r="C78" s="15" t="n"/>
      <c r="E78">
        <f>IF(A78="","",IFERROR(IF(INDEX(Workers!$D$3:$D$51,MATCH(A78,Workers!$A$3:$A$51,0))="Per Day",D78*INDEX(Workers!$E$3:$E$51,MATCH(A78,Workers!$A$3:$A$51,0)),INDEX(Workers!$E$3:$E$51,MATCH(A78,Workers!$A$3:$A$51,0))),"Invalid Worker ID"))</f>
        <v/>
      </c>
      <c r="G78">
        <f>IF(OR(A78="",E78="Invalid Worker ID"),"",E78-F78)</f>
        <v/>
      </c>
      <c r="H78">
        <f>IF(A78="","",IFERROR(INDEX(Workers!$F$3:$F$51,MATCH(A78,Workers!$A$3:$A$51,0)),"Invalid Worker ID"))</f>
        <v/>
      </c>
      <c r="K78">
        <f>A78&amp;"|"&amp;C78</f>
        <v/>
      </c>
    </row>
    <row r="79">
      <c r="B79">
        <f>IF(A79="","",IFERROR(INDEX(Workers!$B$3:$B$51,MATCH(A79,Workers!$A$3:$A$51,0)),"Invalid Worker ID"))</f>
        <v/>
      </c>
      <c r="C79" s="15" t="n"/>
      <c r="E79">
        <f>IF(A79="","",IFERROR(IF(INDEX(Workers!$D$3:$D$51,MATCH(A79,Workers!$A$3:$A$51,0))="Per Day",D79*INDEX(Workers!$E$3:$E$51,MATCH(A79,Workers!$A$3:$A$51,0)),INDEX(Workers!$E$3:$E$51,MATCH(A79,Workers!$A$3:$A$51,0))),"Invalid Worker ID"))</f>
        <v/>
      </c>
      <c r="G79">
        <f>IF(OR(A79="",E79="Invalid Worker ID"),"",E79-F79)</f>
        <v/>
      </c>
      <c r="H79">
        <f>IF(A79="","",IFERROR(INDEX(Workers!$F$3:$F$51,MATCH(A79,Workers!$A$3:$A$51,0)),"Invalid Worker ID"))</f>
        <v/>
      </c>
      <c r="K79">
        <f>A79&amp;"|"&amp;C79</f>
        <v/>
      </c>
    </row>
    <row r="80">
      <c r="B80">
        <f>IF(A80="","",IFERROR(INDEX(Workers!$B$3:$B$51,MATCH(A80,Workers!$A$3:$A$51,0)),"Invalid Worker ID"))</f>
        <v/>
      </c>
      <c r="C80" s="15" t="n"/>
      <c r="E80">
        <f>IF(A80="","",IFERROR(IF(INDEX(Workers!$D$3:$D$51,MATCH(A80,Workers!$A$3:$A$51,0))="Per Day",D80*INDEX(Workers!$E$3:$E$51,MATCH(A80,Workers!$A$3:$A$51,0)),INDEX(Workers!$E$3:$E$51,MATCH(A80,Workers!$A$3:$A$51,0))),"Invalid Worker ID"))</f>
        <v/>
      </c>
      <c r="G80">
        <f>IF(OR(A80="",E80="Invalid Worker ID"),"",E80-F80)</f>
        <v/>
      </c>
      <c r="H80">
        <f>IF(A80="","",IFERROR(INDEX(Workers!$F$3:$F$51,MATCH(A80,Workers!$A$3:$A$51,0)),"Invalid Worker ID"))</f>
        <v/>
      </c>
      <c r="K80">
        <f>A80&amp;"|"&amp;C80</f>
        <v/>
      </c>
    </row>
    <row r="81">
      <c r="B81">
        <f>IF(A81="","",IFERROR(INDEX(Workers!$B$3:$B$51,MATCH(A81,Workers!$A$3:$A$51,0)),"Invalid Worker ID"))</f>
        <v/>
      </c>
      <c r="C81" s="15" t="n"/>
      <c r="E81">
        <f>IF(A81="","",IFERROR(IF(INDEX(Workers!$D$3:$D$51,MATCH(A81,Workers!$A$3:$A$51,0))="Per Day",D81*INDEX(Workers!$E$3:$E$51,MATCH(A81,Workers!$A$3:$A$51,0)),INDEX(Workers!$E$3:$E$51,MATCH(A81,Workers!$A$3:$A$51,0))),"Invalid Worker ID"))</f>
        <v/>
      </c>
      <c r="G81">
        <f>IF(OR(A81="",E81="Invalid Worker ID"),"",E81-F81)</f>
        <v/>
      </c>
      <c r="H81">
        <f>IF(A81="","",IFERROR(INDEX(Workers!$F$3:$F$51,MATCH(A81,Workers!$A$3:$A$51,0)),"Invalid Worker ID"))</f>
        <v/>
      </c>
      <c r="K81">
        <f>A81&amp;"|"&amp;C81</f>
        <v/>
      </c>
    </row>
    <row r="82">
      <c r="B82">
        <f>IF(A82="","",IFERROR(INDEX(Workers!$B$3:$B$51,MATCH(A82,Workers!$A$3:$A$51,0)),"Invalid Worker ID"))</f>
        <v/>
      </c>
      <c r="C82" s="15" t="n"/>
      <c r="E82">
        <f>IF(A82="","",IFERROR(IF(INDEX(Workers!$D$3:$D$51,MATCH(A82,Workers!$A$3:$A$51,0))="Per Day",D82*INDEX(Workers!$E$3:$E$51,MATCH(A82,Workers!$A$3:$A$51,0)),INDEX(Workers!$E$3:$E$51,MATCH(A82,Workers!$A$3:$A$51,0))),"Invalid Worker ID"))</f>
        <v/>
      </c>
      <c r="G82">
        <f>IF(OR(A82="",E82="Invalid Worker ID"),"",E82-F82)</f>
        <v/>
      </c>
      <c r="H82">
        <f>IF(A82="","",IFERROR(INDEX(Workers!$F$3:$F$51,MATCH(A82,Workers!$A$3:$A$51,0)),"Invalid Worker ID"))</f>
        <v/>
      </c>
      <c r="K82">
        <f>A82&amp;"|"&amp;C82</f>
        <v/>
      </c>
    </row>
    <row r="83">
      <c r="B83">
        <f>IF(A83="","",IFERROR(INDEX(Workers!$B$3:$B$51,MATCH(A83,Workers!$A$3:$A$51,0)),"Invalid Worker ID"))</f>
        <v/>
      </c>
      <c r="C83" s="15" t="n"/>
      <c r="E83">
        <f>IF(A83="","",IFERROR(IF(INDEX(Workers!$D$3:$D$51,MATCH(A83,Workers!$A$3:$A$51,0))="Per Day",D83*INDEX(Workers!$E$3:$E$51,MATCH(A83,Workers!$A$3:$A$51,0)),INDEX(Workers!$E$3:$E$51,MATCH(A83,Workers!$A$3:$A$51,0))),"Invalid Worker ID"))</f>
        <v/>
      </c>
      <c r="G83">
        <f>IF(OR(A83="",E83="Invalid Worker ID"),"",E83-F83)</f>
        <v/>
      </c>
      <c r="H83">
        <f>IF(A83="","",IFERROR(INDEX(Workers!$F$3:$F$51,MATCH(A83,Workers!$A$3:$A$51,0)),"Invalid Worker ID"))</f>
        <v/>
      </c>
      <c r="K83">
        <f>A83&amp;"|"&amp;C83</f>
        <v/>
      </c>
    </row>
    <row r="84">
      <c r="B84">
        <f>IF(A84="","",IFERROR(INDEX(Workers!$B$3:$B$51,MATCH(A84,Workers!$A$3:$A$51,0)),"Invalid Worker ID"))</f>
        <v/>
      </c>
      <c r="C84" s="15" t="n"/>
      <c r="E84">
        <f>IF(A84="","",IFERROR(IF(INDEX(Workers!$D$3:$D$51,MATCH(A84,Workers!$A$3:$A$51,0))="Per Day",D84*INDEX(Workers!$E$3:$E$51,MATCH(A84,Workers!$A$3:$A$51,0)),INDEX(Workers!$E$3:$E$51,MATCH(A84,Workers!$A$3:$A$51,0))),"Invalid Worker ID"))</f>
        <v/>
      </c>
      <c r="G84">
        <f>IF(OR(A84="",E84="Invalid Worker ID"),"",E84-F84)</f>
        <v/>
      </c>
      <c r="H84">
        <f>IF(A84="","",IFERROR(INDEX(Workers!$F$3:$F$51,MATCH(A84,Workers!$A$3:$A$51,0)),"Invalid Worker ID"))</f>
        <v/>
      </c>
      <c r="K84">
        <f>A84&amp;"|"&amp;C84</f>
        <v/>
      </c>
    </row>
    <row r="85">
      <c r="B85">
        <f>IF(A85="","",IFERROR(INDEX(Workers!$B$3:$B$51,MATCH(A85,Workers!$A$3:$A$51,0)),"Invalid Worker ID"))</f>
        <v/>
      </c>
      <c r="C85" s="15" t="n"/>
      <c r="E85">
        <f>IF(A85="","",IFERROR(IF(INDEX(Workers!$D$3:$D$51,MATCH(A85,Workers!$A$3:$A$51,0))="Per Day",D85*INDEX(Workers!$E$3:$E$51,MATCH(A85,Workers!$A$3:$A$51,0)),INDEX(Workers!$E$3:$E$51,MATCH(A85,Workers!$A$3:$A$51,0))),"Invalid Worker ID"))</f>
        <v/>
      </c>
      <c r="G85">
        <f>IF(OR(A85="",E85="Invalid Worker ID"),"",E85-F85)</f>
        <v/>
      </c>
      <c r="H85">
        <f>IF(A85="","",IFERROR(INDEX(Workers!$F$3:$F$51,MATCH(A85,Workers!$A$3:$A$51,0)),"Invalid Worker ID"))</f>
        <v/>
      </c>
      <c r="K85">
        <f>A85&amp;"|"&amp;C85</f>
        <v/>
      </c>
    </row>
    <row r="86">
      <c r="B86">
        <f>IF(A86="","",IFERROR(INDEX(Workers!$B$3:$B$51,MATCH(A86,Workers!$A$3:$A$51,0)),"Invalid Worker ID"))</f>
        <v/>
      </c>
      <c r="C86" s="15" t="n"/>
      <c r="E86">
        <f>IF(A86="","",IFERROR(IF(INDEX(Workers!$D$3:$D$51,MATCH(A86,Workers!$A$3:$A$51,0))="Per Day",D86*INDEX(Workers!$E$3:$E$51,MATCH(A86,Workers!$A$3:$A$51,0)),INDEX(Workers!$E$3:$E$51,MATCH(A86,Workers!$A$3:$A$51,0))),"Invalid Worker ID"))</f>
        <v/>
      </c>
      <c r="G86">
        <f>IF(OR(A86="",E86="Invalid Worker ID"),"",E86-F86)</f>
        <v/>
      </c>
      <c r="H86">
        <f>IF(A86="","",IFERROR(INDEX(Workers!$F$3:$F$51,MATCH(A86,Workers!$A$3:$A$51,0)),"Invalid Worker ID"))</f>
        <v/>
      </c>
      <c r="K86">
        <f>A86&amp;"|"&amp;C86</f>
        <v/>
      </c>
    </row>
    <row r="87">
      <c r="B87">
        <f>IF(A87="","",IFERROR(INDEX(Workers!$B$3:$B$51,MATCH(A87,Workers!$A$3:$A$51,0)),"Invalid Worker ID"))</f>
        <v/>
      </c>
      <c r="C87" s="15" t="n"/>
      <c r="E87">
        <f>IF(A87="","",IFERROR(IF(INDEX(Workers!$D$3:$D$51,MATCH(A87,Workers!$A$3:$A$51,0))="Per Day",D87*INDEX(Workers!$E$3:$E$51,MATCH(A87,Workers!$A$3:$A$51,0)),INDEX(Workers!$E$3:$E$51,MATCH(A87,Workers!$A$3:$A$51,0))),"Invalid Worker ID"))</f>
        <v/>
      </c>
      <c r="G87">
        <f>IF(OR(A87="",E87="Invalid Worker ID"),"",E87-F87)</f>
        <v/>
      </c>
      <c r="H87">
        <f>IF(A87="","",IFERROR(INDEX(Workers!$F$3:$F$51,MATCH(A87,Workers!$A$3:$A$51,0)),"Invalid Worker ID"))</f>
        <v/>
      </c>
      <c r="K87">
        <f>A87&amp;"|"&amp;C87</f>
        <v/>
      </c>
    </row>
    <row r="88">
      <c r="B88">
        <f>IF(A88="","",IFERROR(INDEX(Workers!$B$3:$B$51,MATCH(A88,Workers!$A$3:$A$51,0)),"Invalid Worker ID"))</f>
        <v/>
      </c>
      <c r="C88" s="15" t="n"/>
      <c r="E88">
        <f>IF(A88="","",IFERROR(IF(INDEX(Workers!$D$3:$D$51,MATCH(A88,Workers!$A$3:$A$51,0))="Per Day",D88*INDEX(Workers!$E$3:$E$51,MATCH(A88,Workers!$A$3:$A$51,0)),INDEX(Workers!$E$3:$E$51,MATCH(A88,Workers!$A$3:$A$51,0))),"Invalid Worker ID"))</f>
        <v/>
      </c>
      <c r="G88">
        <f>IF(OR(A88="",E88="Invalid Worker ID"),"",E88-F88)</f>
        <v/>
      </c>
      <c r="H88">
        <f>IF(A88="","",IFERROR(INDEX(Workers!$F$3:$F$51,MATCH(A88,Workers!$A$3:$A$51,0)),"Invalid Worker ID"))</f>
        <v/>
      </c>
      <c r="K88">
        <f>A88&amp;"|"&amp;C88</f>
        <v/>
      </c>
    </row>
    <row r="89">
      <c r="B89">
        <f>IF(A89="","",IFERROR(INDEX(Workers!$B$3:$B$51,MATCH(A89,Workers!$A$3:$A$51,0)),"Invalid Worker ID"))</f>
        <v/>
      </c>
      <c r="C89" s="15" t="n"/>
      <c r="E89">
        <f>IF(A89="","",IFERROR(IF(INDEX(Workers!$D$3:$D$51,MATCH(A89,Workers!$A$3:$A$51,0))="Per Day",D89*INDEX(Workers!$E$3:$E$51,MATCH(A89,Workers!$A$3:$A$51,0)),INDEX(Workers!$E$3:$E$51,MATCH(A89,Workers!$A$3:$A$51,0))),"Invalid Worker ID"))</f>
        <v/>
      </c>
      <c r="G89">
        <f>IF(OR(A89="",E89="Invalid Worker ID"),"",E89-F89)</f>
        <v/>
      </c>
      <c r="H89">
        <f>IF(A89="","",IFERROR(INDEX(Workers!$F$3:$F$51,MATCH(A89,Workers!$A$3:$A$51,0)),"Invalid Worker ID"))</f>
        <v/>
      </c>
      <c r="K89">
        <f>A89&amp;"|"&amp;C89</f>
        <v/>
      </c>
    </row>
    <row r="90">
      <c r="B90">
        <f>IF(A90="","",IFERROR(INDEX(Workers!$B$3:$B$51,MATCH(A90,Workers!$A$3:$A$51,0)),"Invalid Worker ID"))</f>
        <v/>
      </c>
      <c r="C90" s="15" t="n"/>
      <c r="E90">
        <f>IF(A90="","",IFERROR(IF(INDEX(Workers!$D$3:$D$51,MATCH(A90,Workers!$A$3:$A$51,0))="Per Day",D90*INDEX(Workers!$E$3:$E$51,MATCH(A90,Workers!$A$3:$A$51,0)),INDEX(Workers!$E$3:$E$51,MATCH(A90,Workers!$A$3:$A$51,0))),"Invalid Worker ID"))</f>
        <v/>
      </c>
      <c r="G90">
        <f>IF(OR(A90="",E90="Invalid Worker ID"),"",E90-F90)</f>
        <v/>
      </c>
      <c r="H90">
        <f>IF(A90="","",IFERROR(INDEX(Workers!$F$3:$F$51,MATCH(A90,Workers!$A$3:$A$51,0)),"Invalid Worker ID"))</f>
        <v/>
      </c>
      <c r="K90">
        <f>A90&amp;"|"&amp;C90</f>
        <v/>
      </c>
    </row>
    <row r="91">
      <c r="B91">
        <f>IF(A91="","",IFERROR(INDEX(Workers!$B$3:$B$51,MATCH(A91,Workers!$A$3:$A$51,0)),"Invalid Worker ID"))</f>
        <v/>
      </c>
      <c r="C91" s="15" t="n"/>
      <c r="E91">
        <f>IF(A91="","",IFERROR(IF(INDEX(Workers!$D$3:$D$51,MATCH(A91,Workers!$A$3:$A$51,0))="Per Day",D91*INDEX(Workers!$E$3:$E$51,MATCH(A91,Workers!$A$3:$A$51,0)),INDEX(Workers!$E$3:$E$51,MATCH(A91,Workers!$A$3:$A$51,0))),"Invalid Worker ID"))</f>
        <v/>
      </c>
      <c r="G91">
        <f>IF(OR(A91="",E91="Invalid Worker ID"),"",E91-F91)</f>
        <v/>
      </c>
      <c r="H91">
        <f>IF(A91="","",IFERROR(INDEX(Workers!$F$3:$F$51,MATCH(A91,Workers!$A$3:$A$51,0)),"Invalid Worker ID"))</f>
        <v/>
      </c>
      <c r="K91">
        <f>A91&amp;"|"&amp;C91</f>
        <v/>
      </c>
    </row>
    <row r="92">
      <c r="B92">
        <f>IF(A92="","",IFERROR(INDEX(Workers!$B$3:$B$51,MATCH(A92,Workers!$A$3:$A$51,0)),"Invalid Worker ID"))</f>
        <v/>
      </c>
      <c r="C92" s="15" t="n"/>
      <c r="E92">
        <f>IF(A92="","",IFERROR(IF(INDEX(Workers!$D$3:$D$51,MATCH(A92,Workers!$A$3:$A$51,0))="Per Day",D92*INDEX(Workers!$E$3:$E$51,MATCH(A92,Workers!$A$3:$A$51,0)),INDEX(Workers!$E$3:$E$51,MATCH(A92,Workers!$A$3:$A$51,0))),"Invalid Worker ID"))</f>
        <v/>
      </c>
      <c r="G92">
        <f>IF(OR(A92="",E92="Invalid Worker ID"),"",E92-F92)</f>
        <v/>
      </c>
      <c r="H92">
        <f>IF(A92="","",IFERROR(INDEX(Workers!$F$3:$F$51,MATCH(A92,Workers!$A$3:$A$51,0)),"Invalid Worker ID"))</f>
        <v/>
      </c>
      <c r="K92">
        <f>A92&amp;"|"&amp;C92</f>
        <v/>
      </c>
    </row>
    <row r="93">
      <c r="B93">
        <f>IF(A93="","",IFERROR(INDEX(Workers!$B$3:$B$51,MATCH(A93,Workers!$A$3:$A$51,0)),"Invalid Worker ID"))</f>
        <v/>
      </c>
      <c r="C93" s="15" t="n"/>
      <c r="E93">
        <f>IF(A93="","",IFERROR(IF(INDEX(Workers!$D$3:$D$51,MATCH(A93,Workers!$A$3:$A$51,0))="Per Day",D93*INDEX(Workers!$E$3:$E$51,MATCH(A93,Workers!$A$3:$A$51,0)),INDEX(Workers!$E$3:$E$51,MATCH(A93,Workers!$A$3:$A$51,0))),"Invalid Worker ID"))</f>
        <v/>
      </c>
      <c r="G93">
        <f>IF(OR(A93="",E93="Invalid Worker ID"),"",E93-F93)</f>
        <v/>
      </c>
      <c r="H93">
        <f>IF(A93="","",IFERROR(INDEX(Workers!$F$3:$F$51,MATCH(A93,Workers!$A$3:$A$51,0)),"Invalid Worker ID"))</f>
        <v/>
      </c>
      <c r="K93">
        <f>A93&amp;"|"&amp;C93</f>
        <v/>
      </c>
    </row>
    <row r="94">
      <c r="B94">
        <f>IF(A94="","",IFERROR(INDEX(Workers!$B$3:$B$51,MATCH(A94,Workers!$A$3:$A$51,0)),"Invalid Worker ID"))</f>
        <v/>
      </c>
      <c r="C94" s="15" t="n"/>
      <c r="E94">
        <f>IF(A94="","",IFERROR(IF(INDEX(Workers!$D$3:$D$51,MATCH(A94,Workers!$A$3:$A$51,0))="Per Day",D94*INDEX(Workers!$E$3:$E$51,MATCH(A94,Workers!$A$3:$A$51,0)),INDEX(Workers!$E$3:$E$51,MATCH(A94,Workers!$A$3:$A$51,0))),"Invalid Worker ID"))</f>
        <v/>
      </c>
      <c r="G94">
        <f>IF(OR(A94="",E94="Invalid Worker ID"),"",E94-F94)</f>
        <v/>
      </c>
      <c r="H94">
        <f>IF(A94="","",IFERROR(INDEX(Workers!$F$3:$F$51,MATCH(A94,Workers!$A$3:$A$51,0)),"Invalid Worker ID"))</f>
        <v/>
      </c>
      <c r="K94">
        <f>A94&amp;"|"&amp;C94</f>
        <v/>
      </c>
    </row>
    <row r="95">
      <c r="B95">
        <f>IF(A95="","",IFERROR(INDEX(Workers!$B$3:$B$51,MATCH(A95,Workers!$A$3:$A$51,0)),"Invalid Worker ID"))</f>
        <v/>
      </c>
      <c r="C95" s="15" t="n"/>
      <c r="E95">
        <f>IF(A95="","",IFERROR(IF(INDEX(Workers!$D$3:$D$51,MATCH(A95,Workers!$A$3:$A$51,0))="Per Day",D95*INDEX(Workers!$E$3:$E$51,MATCH(A95,Workers!$A$3:$A$51,0)),INDEX(Workers!$E$3:$E$51,MATCH(A95,Workers!$A$3:$A$51,0))),"Invalid Worker ID"))</f>
        <v/>
      </c>
      <c r="G95">
        <f>IF(OR(A95="",E95="Invalid Worker ID"),"",E95-F95)</f>
        <v/>
      </c>
      <c r="H95">
        <f>IF(A95="","",IFERROR(INDEX(Workers!$F$3:$F$51,MATCH(A95,Workers!$A$3:$A$51,0)),"Invalid Worker ID"))</f>
        <v/>
      </c>
      <c r="K95">
        <f>A95&amp;"|"&amp;C95</f>
        <v/>
      </c>
    </row>
    <row r="96">
      <c r="B96">
        <f>IF(A96="","",IFERROR(INDEX(Workers!$B$3:$B$51,MATCH(A96,Workers!$A$3:$A$51,0)),"Invalid Worker ID"))</f>
        <v/>
      </c>
      <c r="C96" s="15" t="n"/>
      <c r="E96">
        <f>IF(A96="","",IFERROR(IF(INDEX(Workers!$D$3:$D$51,MATCH(A96,Workers!$A$3:$A$51,0))="Per Day",D96*INDEX(Workers!$E$3:$E$51,MATCH(A96,Workers!$A$3:$A$51,0)),INDEX(Workers!$E$3:$E$51,MATCH(A96,Workers!$A$3:$A$51,0))),"Invalid Worker ID"))</f>
        <v/>
      </c>
      <c r="G96">
        <f>IF(OR(A96="",E96="Invalid Worker ID"),"",E96-F96)</f>
        <v/>
      </c>
      <c r="H96">
        <f>IF(A96="","",IFERROR(INDEX(Workers!$F$3:$F$51,MATCH(A96,Workers!$A$3:$A$51,0)),"Invalid Worker ID"))</f>
        <v/>
      </c>
      <c r="K96">
        <f>A96&amp;"|"&amp;C96</f>
        <v/>
      </c>
    </row>
    <row r="97">
      <c r="B97">
        <f>IF(A97="","",IFERROR(INDEX(Workers!$B$3:$B$51,MATCH(A97,Workers!$A$3:$A$51,0)),"Invalid Worker ID"))</f>
        <v/>
      </c>
      <c r="C97" s="15" t="n"/>
      <c r="E97">
        <f>IF(A97="","",IFERROR(IF(INDEX(Workers!$D$3:$D$51,MATCH(A97,Workers!$A$3:$A$51,0))="Per Day",D97*INDEX(Workers!$E$3:$E$51,MATCH(A97,Workers!$A$3:$A$51,0)),INDEX(Workers!$E$3:$E$51,MATCH(A97,Workers!$A$3:$A$51,0))),"Invalid Worker ID"))</f>
        <v/>
      </c>
      <c r="G97">
        <f>IF(OR(A97="",E97="Invalid Worker ID"),"",E97-F97)</f>
        <v/>
      </c>
      <c r="H97">
        <f>IF(A97="","",IFERROR(INDEX(Workers!$F$3:$F$51,MATCH(A97,Workers!$A$3:$A$51,0)),"Invalid Worker ID"))</f>
        <v/>
      </c>
      <c r="K97">
        <f>A97&amp;"|"&amp;C97</f>
        <v/>
      </c>
    </row>
    <row r="98">
      <c r="B98">
        <f>IF(A98="","",IFERROR(INDEX(Workers!$B$3:$B$51,MATCH(A98,Workers!$A$3:$A$51,0)),"Invalid Worker ID"))</f>
        <v/>
      </c>
      <c r="C98" s="15" t="n"/>
      <c r="E98">
        <f>IF(A98="","",IFERROR(IF(INDEX(Workers!$D$3:$D$51,MATCH(A98,Workers!$A$3:$A$51,0))="Per Day",D98*INDEX(Workers!$E$3:$E$51,MATCH(A98,Workers!$A$3:$A$51,0)),INDEX(Workers!$E$3:$E$51,MATCH(A98,Workers!$A$3:$A$51,0))),"Invalid Worker ID"))</f>
        <v/>
      </c>
      <c r="G98">
        <f>IF(OR(A98="",E98="Invalid Worker ID"),"",E98-F98)</f>
        <v/>
      </c>
      <c r="H98">
        <f>IF(A98="","",IFERROR(INDEX(Workers!$F$3:$F$51,MATCH(A98,Workers!$A$3:$A$51,0)),"Invalid Worker ID"))</f>
        <v/>
      </c>
      <c r="K98">
        <f>A98&amp;"|"&amp;C98</f>
        <v/>
      </c>
    </row>
    <row r="99">
      <c r="B99">
        <f>IF(A99="","",IFERROR(INDEX(Workers!$B$3:$B$51,MATCH(A99,Workers!$A$3:$A$51,0)),"Invalid Worker ID"))</f>
        <v/>
      </c>
      <c r="C99" s="15" t="n"/>
      <c r="E99">
        <f>IF(A99="","",IFERROR(IF(INDEX(Workers!$D$3:$D$51,MATCH(A99,Workers!$A$3:$A$51,0))="Per Day",D99*INDEX(Workers!$E$3:$E$51,MATCH(A99,Workers!$A$3:$A$51,0)),INDEX(Workers!$E$3:$E$51,MATCH(A99,Workers!$A$3:$A$51,0))),"Invalid Worker ID"))</f>
        <v/>
      </c>
      <c r="G99">
        <f>IF(OR(A99="",E99="Invalid Worker ID"),"",E99-F99)</f>
        <v/>
      </c>
      <c r="H99">
        <f>IF(A99="","",IFERROR(INDEX(Workers!$F$3:$F$51,MATCH(A99,Workers!$A$3:$A$51,0)),"Invalid Worker ID"))</f>
        <v/>
      </c>
      <c r="K99">
        <f>A99&amp;"|"&amp;C99</f>
        <v/>
      </c>
    </row>
    <row r="100">
      <c r="B100">
        <f>IF(A100="","",IFERROR(INDEX(Workers!$B$3:$B$51,MATCH(A100,Workers!$A$3:$A$51,0)),"Invalid Worker ID"))</f>
        <v/>
      </c>
      <c r="C100" s="15" t="n"/>
      <c r="E100">
        <f>IF(A100="","",IFERROR(IF(INDEX(Workers!$D$3:$D$51,MATCH(A100,Workers!$A$3:$A$51,0))="Per Day",D100*INDEX(Workers!$E$3:$E$51,MATCH(A100,Workers!$A$3:$A$51,0)),INDEX(Workers!$E$3:$E$51,MATCH(A100,Workers!$A$3:$A$51,0))),"Invalid Worker ID"))</f>
        <v/>
      </c>
      <c r="G100">
        <f>IF(OR(A100="",E100="Invalid Worker ID"),"",E100-F100)</f>
        <v/>
      </c>
      <c r="H100">
        <f>IF(A100="","",IFERROR(INDEX(Workers!$F$3:$F$51,MATCH(A100,Workers!$A$3:$A$51,0)),"Invalid Worker ID"))</f>
        <v/>
      </c>
      <c r="K100">
        <f>A100&amp;"|"&amp;C100</f>
        <v/>
      </c>
    </row>
    <row r="101">
      <c r="B101">
        <f>IF(A101="","",IFERROR(INDEX(Workers!$B$3:$B$51,MATCH(A101,Workers!$A$3:$A$51,0)),"Invalid Worker ID"))</f>
        <v/>
      </c>
      <c r="C101" s="15" t="n"/>
      <c r="E101">
        <f>IF(A101="","",IFERROR(IF(INDEX(Workers!$D$3:$D$51,MATCH(A101,Workers!$A$3:$A$51,0))="Per Day",D101*INDEX(Workers!$E$3:$E$51,MATCH(A101,Workers!$A$3:$A$51,0)),INDEX(Workers!$E$3:$E$51,MATCH(A101,Workers!$A$3:$A$51,0))),"Invalid Worker ID"))</f>
        <v/>
      </c>
      <c r="G101">
        <f>IF(OR(A101="",E101="Invalid Worker ID"),"",E101-F101)</f>
        <v/>
      </c>
      <c r="H101">
        <f>IF(A101="","",IFERROR(INDEX(Workers!$F$3:$F$51,MATCH(A101,Workers!$A$3:$A$51,0)),"Invalid Worker ID"))</f>
        <v/>
      </c>
      <c r="K101">
        <f>A101&amp;"|"&amp;C101</f>
        <v/>
      </c>
    </row>
    <row r="102">
      <c r="B102">
        <f>IF(A102="","",IFERROR(INDEX(Workers!$B$3:$B$51,MATCH(A102,Workers!$A$3:$A$51,0)),"Invalid Worker ID"))</f>
        <v/>
      </c>
      <c r="C102" s="15" t="n"/>
      <c r="E102">
        <f>IF(A102="","",IFERROR(IF(INDEX(Workers!$D$3:$D$51,MATCH(A102,Workers!$A$3:$A$51,0))="Per Day",D102*INDEX(Workers!$E$3:$E$51,MATCH(A102,Workers!$A$3:$A$51,0)),INDEX(Workers!$E$3:$E$51,MATCH(A102,Workers!$A$3:$A$51,0))),"Invalid Worker ID"))</f>
        <v/>
      </c>
      <c r="G102">
        <f>IF(OR(A102="",E102="Invalid Worker ID"),"",E102-F102)</f>
        <v/>
      </c>
      <c r="H102">
        <f>IF(A102="","",IFERROR(INDEX(Workers!$F$3:$F$51,MATCH(A102,Workers!$A$3:$A$51,0)),"Invalid Worker ID"))</f>
        <v/>
      </c>
      <c r="K102">
        <f>A102&amp;"|"&amp;C102</f>
        <v/>
      </c>
    </row>
    <row r="103">
      <c r="B103">
        <f>IF(A103="","",IFERROR(INDEX(Workers!$B$3:$B$51,MATCH(A103,Workers!$A$3:$A$51,0)),"Invalid Worker ID"))</f>
        <v/>
      </c>
      <c r="C103" s="15" t="n"/>
      <c r="E103">
        <f>IF(A103="","",IFERROR(IF(INDEX(Workers!$D$3:$D$51,MATCH(A103,Workers!$A$3:$A$51,0))="Per Day",D103*INDEX(Workers!$E$3:$E$51,MATCH(A103,Workers!$A$3:$A$51,0)),INDEX(Workers!$E$3:$E$51,MATCH(A103,Workers!$A$3:$A$51,0))),"Invalid Worker ID"))</f>
        <v/>
      </c>
      <c r="G103">
        <f>IF(OR(A103="",E103="Invalid Worker ID"),"",E103-F103)</f>
        <v/>
      </c>
      <c r="H103">
        <f>IF(A103="","",IFERROR(INDEX(Workers!$F$3:$F$51,MATCH(A103,Workers!$A$3:$A$51,0)),"Invalid Worker ID"))</f>
        <v/>
      </c>
      <c r="K103">
        <f>A103&amp;"|"&amp;C103</f>
        <v/>
      </c>
    </row>
    <row r="104">
      <c r="B104">
        <f>IF(A104="","",IFERROR(INDEX(Workers!$B$3:$B$51,MATCH(A104,Workers!$A$3:$A$51,0)),"Invalid Worker ID"))</f>
        <v/>
      </c>
      <c r="C104" s="15" t="n"/>
      <c r="E104">
        <f>IF(A104="","",IFERROR(IF(INDEX(Workers!$D$3:$D$51,MATCH(A104,Workers!$A$3:$A$51,0))="Per Day",D104*INDEX(Workers!$E$3:$E$51,MATCH(A104,Workers!$A$3:$A$51,0)),INDEX(Workers!$E$3:$E$51,MATCH(A104,Workers!$A$3:$A$51,0))),"Invalid Worker ID"))</f>
        <v/>
      </c>
      <c r="G104">
        <f>IF(OR(A104="",E104="Invalid Worker ID"),"",E104-F104)</f>
        <v/>
      </c>
      <c r="H104">
        <f>IF(A104="","",IFERROR(INDEX(Workers!$F$3:$F$51,MATCH(A104,Workers!$A$3:$A$51,0)),"Invalid Worker ID"))</f>
        <v/>
      </c>
      <c r="K104">
        <f>A104&amp;"|"&amp;C104</f>
        <v/>
      </c>
    </row>
    <row r="105">
      <c r="B105">
        <f>IF(A105="","",IFERROR(INDEX(Workers!$B$3:$B$51,MATCH(A105,Workers!$A$3:$A$51,0)),"Invalid Worker ID"))</f>
        <v/>
      </c>
      <c r="C105" s="15" t="n"/>
      <c r="E105">
        <f>IF(A105="","",IFERROR(IF(INDEX(Workers!$D$3:$D$51,MATCH(A105,Workers!$A$3:$A$51,0))="Per Day",D105*INDEX(Workers!$E$3:$E$51,MATCH(A105,Workers!$A$3:$A$51,0)),INDEX(Workers!$E$3:$E$51,MATCH(A105,Workers!$A$3:$A$51,0))),"Invalid Worker ID"))</f>
        <v/>
      </c>
      <c r="G105">
        <f>IF(OR(A105="",E105="Invalid Worker ID"),"",E105-F105)</f>
        <v/>
      </c>
      <c r="H105">
        <f>IF(A105="","",IFERROR(INDEX(Workers!$F$3:$F$51,MATCH(A105,Workers!$A$3:$A$51,0)),"Invalid Worker ID"))</f>
        <v/>
      </c>
      <c r="K105">
        <f>A105&amp;"|"&amp;C105</f>
        <v/>
      </c>
    </row>
    <row r="106">
      <c r="B106">
        <f>IF(A106="","",IFERROR(INDEX(Workers!$B$3:$B$51,MATCH(A106,Workers!$A$3:$A$51,0)),"Invalid Worker ID"))</f>
        <v/>
      </c>
      <c r="C106" s="15" t="n"/>
      <c r="E106">
        <f>IF(A106="","",IFERROR(IF(INDEX(Workers!$D$3:$D$51,MATCH(A106,Workers!$A$3:$A$51,0))="Per Day",D106*INDEX(Workers!$E$3:$E$51,MATCH(A106,Workers!$A$3:$A$51,0)),INDEX(Workers!$E$3:$E$51,MATCH(A106,Workers!$A$3:$A$51,0))),"Invalid Worker ID"))</f>
        <v/>
      </c>
      <c r="G106">
        <f>IF(OR(A106="",E106="Invalid Worker ID"),"",E106-F106)</f>
        <v/>
      </c>
      <c r="H106">
        <f>IF(A106="","",IFERROR(INDEX(Workers!$F$3:$F$51,MATCH(A106,Workers!$A$3:$A$51,0)),"Invalid Worker ID"))</f>
        <v/>
      </c>
      <c r="K106">
        <f>A106&amp;"|"&amp;C106</f>
        <v/>
      </c>
    </row>
    <row r="107">
      <c r="B107">
        <f>IF(A107="","",IFERROR(INDEX(Workers!$B$3:$B$51,MATCH(A107,Workers!$A$3:$A$51,0)),"Invalid Worker ID"))</f>
        <v/>
      </c>
      <c r="C107" s="15" t="n"/>
      <c r="E107">
        <f>IF(A107="","",IFERROR(IF(INDEX(Workers!$D$3:$D$51,MATCH(A107,Workers!$A$3:$A$51,0))="Per Day",D107*INDEX(Workers!$E$3:$E$51,MATCH(A107,Workers!$A$3:$A$51,0)),INDEX(Workers!$E$3:$E$51,MATCH(A107,Workers!$A$3:$A$51,0))),"Invalid Worker ID"))</f>
        <v/>
      </c>
      <c r="G107">
        <f>IF(OR(A107="",E107="Invalid Worker ID"),"",E107-F107)</f>
        <v/>
      </c>
      <c r="H107">
        <f>IF(A107="","",IFERROR(INDEX(Workers!$F$3:$F$51,MATCH(A107,Workers!$A$3:$A$51,0)),"Invalid Worker ID"))</f>
        <v/>
      </c>
      <c r="K107">
        <f>A107&amp;"|"&amp;C107</f>
        <v/>
      </c>
    </row>
    <row r="108">
      <c r="B108">
        <f>IF(A108="","",IFERROR(INDEX(Workers!$B$3:$B$51,MATCH(A108,Workers!$A$3:$A$51,0)),"Invalid Worker ID"))</f>
        <v/>
      </c>
      <c r="C108" s="15" t="n"/>
      <c r="E108">
        <f>IF(A108="","",IFERROR(IF(INDEX(Workers!$D$3:$D$51,MATCH(A108,Workers!$A$3:$A$51,0))="Per Day",D108*INDEX(Workers!$E$3:$E$51,MATCH(A108,Workers!$A$3:$A$51,0)),INDEX(Workers!$E$3:$E$51,MATCH(A108,Workers!$A$3:$A$51,0))),"Invalid Worker ID"))</f>
        <v/>
      </c>
      <c r="G108">
        <f>IF(OR(A108="",E108="Invalid Worker ID"),"",E108-F108)</f>
        <v/>
      </c>
      <c r="H108">
        <f>IF(A108="","",IFERROR(INDEX(Workers!$F$3:$F$51,MATCH(A108,Workers!$A$3:$A$51,0)),"Invalid Worker ID"))</f>
        <v/>
      </c>
      <c r="K108">
        <f>A108&amp;"|"&amp;C108</f>
        <v/>
      </c>
    </row>
    <row r="109">
      <c r="B109">
        <f>IF(A109="","",IFERROR(INDEX(Workers!$B$3:$B$51,MATCH(A109,Workers!$A$3:$A$51,0)),"Invalid Worker ID"))</f>
        <v/>
      </c>
      <c r="C109" s="15" t="n"/>
      <c r="E109">
        <f>IF(A109="","",IFERROR(IF(INDEX(Workers!$D$3:$D$51,MATCH(A109,Workers!$A$3:$A$51,0))="Per Day",D109*INDEX(Workers!$E$3:$E$51,MATCH(A109,Workers!$A$3:$A$51,0)),INDEX(Workers!$E$3:$E$51,MATCH(A109,Workers!$A$3:$A$51,0))),"Invalid Worker ID"))</f>
        <v/>
      </c>
      <c r="G109">
        <f>IF(OR(A109="",E109="Invalid Worker ID"),"",E109-F109)</f>
        <v/>
      </c>
      <c r="H109">
        <f>IF(A109="","",IFERROR(INDEX(Workers!$F$3:$F$51,MATCH(A109,Workers!$A$3:$A$51,0)),"Invalid Worker ID"))</f>
        <v/>
      </c>
      <c r="K109">
        <f>A109&amp;"|"&amp;C109</f>
        <v/>
      </c>
    </row>
    <row r="110">
      <c r="B110">
        <f>IF(A110="","",IFERROR(INDEX(Workers!$B$3:$B$51,MATCH(A110,Workers!$A$3:$A$51,0)),"Invalid Worker ID"))</f>
        <v/>
      </c>
      <c r="C110" s="15" t="n"/>
      <c r="E110">
        <f>IF(A110="","",IFERROR(IF(INDEX(Workers!$D$3:$D$51,MATCH(A110,Workers!$A$3:$A$51,0))="Per Day",D110*INDEX(Workers!$E$3:$E$51,MATCH(A110,Workers!$A$3:$A$51,0)),INDEX(Workers!$E$3:$E$51,MATCH(A110,Workers!$A$3:$A$51,0))),"Invalid Worker ID"))</f>
        <v/>
      </c>
      <c r="G110">
        <f>IF(OR(A110="",E110="Invalid Worker ID"),"",E110-F110)</f>
        <v/>
      </c>
      <c r="H110">
        <f>IF(A110="","",IFERROR(INDEX(Workers!$F$3:$F$51,MATCH(A110,Workers!$A$3:$A$51,0)),"Invalid Worker ID"))</f>
        <v/>
      </c>
      <c r="K110">
        <f>A110&amp;"|"&amp;C110</f>
        <v/>
      </c>
    </row>
    <row r="111">
      <c r="B111">
        <f>IF(A111="","",IFERROR(INDEX(Workers!$B$3:$B$51,MATCH(A111,Workers!$A$3:$A$51,0)),"Invalid Worker ID"))</f>
        <v/>
      </c>
      <c r="C111" s="15" t="n"/>
      <c r="E111">
        <f>IF(A111="","",IFERROR(IF(INDEX(Workers!$D$3:$D$51,MATCH(A111,Workers!$A$3:$A$51,0))="Per Day",D111*INDEX(Workers!$E$3:$E$51,MATCH(A111,Workers!$A$3:$A$51,0)),INDEX(Workers!$E$3:$E$51,MATCH(A111,Workers!$A$3:$A$51,0))),"Invalid Worker ID"))</f>
        <v/>
      </c>
      <c r="G111">
        <f>IF(OR(A111="",E111="Invalid Worker ID"),"",E111-F111)</f>
        <v/>
      </c>
      <c r="H111">
        <f>IF(A111="","",IFERROR(INDEX(Workers!$F$3:$F$51,MATCH(A111,Workers!$A$3:$A$51,0)),"Invalid Worker ID"))</f>
        <v/>
      </c>
      <c r="K111">
        <f>A111&amp;"|"&amp;C111</f>
        <v/>
      </c>
    </row>
    <row r="112">
      <c r="B112">
        <f>IF(A112="","",IFERROR(INDEX(Workers!$B$3:$B$51,MATCH(A112,Workers!$A$3:$A$51,0)),"Invalid Worker ID"))</f>
        <v/>
      </c>
      <c r="C112" s="15" t="n"/>
      <c r="E112">
        <f>IF(A112="","",IFERROR(IF(INDEX(Workers!$D$3:$D$51,MATCH(A112,Workers!$A$3:$A$51,0))="Per Day",D112*INDEX(Workers!$E$3:$E$51,MATCH(A112,Workers!$A$3:$A$51,0)),INDEX(Workers!$E$3:$E$51,MATCH(A112,Workers!$A$3:$A$51,0))),"Invalid Worker ID"))</f>
        <v/>
      </c>
      <c r="G112">
        <f>IF(OR(A112="",E112="Invalid Worker ID"),"",E112-F112)</f>
        <v/>
      </c>
      <c r="H112">
        <f>IF(A112="","",IFERROR(INDEX(Workers!$F$3:$F$51,MATCH(A112,Workers!$A$3:$A$51,0)),"Invalid Worker ID"))</f>
        <v/>
      </c>
      <c r="K112">
        <f>A112&amp;"|"&amp;C112</f>
        <v/>
      </c>
    </row>
    <row r="113">
      <c r="B113">
        <f>IF(A113="","",IFERROR(INDEX(Workers!$B$3:$B$51,MATCH(A113,Workers!$A$3:$A$51,0)),"Invalid Worker ID"))</f>
        <v/>
      </c>
      <c r="C113" s="15" t="n"/>
      <c r="E113">
        <f>IF(A113="","",IFERROR(IF(INDEX(Workers!$D$3:$D$51,MATCH(A113,Workers!$A$3:$A$51,0))="Per Day",D113*INDEX(Workers!$E$3:$E$51,MATCH(A113,Workers!$A$3:$A$51,0)),INDEX(Workers!$E$3:$E$51,MATCH(A113,Workers!$A$3:$A$51,0))),"Invalid Worker ID"))</f>
        <v/>
      </c>
      <c r="G113">
        <f>IF(OR(A113="",E113="Invalid Worker ID"),"",E113-F113)</f>
        <v/>
      </c>
      <c r="H113">
        <f>IF(A113="","",IFERROR(INDEX(Workers!$F$3:$F$51,MATCH(A113,Workers!$A$3:$A$51,0)),"Invalid Worker ID"))</f>
        <v/>
      </c>
      <c r="K113">
        <f>A113&amp;"|"&amp;C113</f>
        <v/>
      </c>
    </row>
    <row r="114">
      <c r="B114">
        <f>IF(A114="","",IFERROR(INDEX(Workers!$B$3:$B$51,MATCH(A114,Workers!$A$3:$A$51,0)),"Invalid Worker ID"))</f>
        <v/>
      </c>
      <c r="C114" s="15" t="n"/>
      <c r="E114">
        <f>IF(A114="","",IFERROR(IF(INDEX(Workers!$D$3:$D$51,MATCH(A114,Workers!$A$3:$A$51,0))="Per Day",D114*INDEX(Workers!$E$3:$E$51,MATCH(A114,Workers!$A$3:$A$51,0)),INDEX(Workers!$E$3:$E$51,MATCH(A114,Workers!$A$3:$A$51,0))),"Invalid Worker ID"))</f>
        <v/>
      </c>
      <c r="G114">
        <f>IF(OR(A114="",E114="Invalid Worker ID"),"",E114-F114)</f>
        <v/>
      </c>
      <c r="H114">
        <f>IF(A114="","",IFERROR(INDEX(Workers!$F$3:$F$51,MATCH(A114,Workers!$A$3:$A$51,0)),"Invalid Worker ID"))</f>
        <v/>
      </c>
      <c r="K114">
        <f>A114&amp;"|"&amp;C114</f>
        <v/>
      </c>
    </row>
    <row r="115">
      <c r="B115">
        <f>IF(A115="","",IFERROR(INDEX(Workers!$B$3:$B$51,MATCH(A115,Workers!$A$3:$A$51,0)),"Invalid Worker ID"))</f>
        <v/>
      </c>
      <c r="C115" s="15" t="n"/>
      <c r="E115">
        <f>IF(A115="","",IFERROR(IF(INDEX(Workers!$D$3:$D$51,MATCH(A115,Workers!$A$3:$A$51,0))="Per Day",D115*INDEX(Workers!$E$3:$E$51,MATCH(A115,Workers!$A$3:$A$51,0)),INDEX(Workers!$E$3:$E$51,MATCH(A115,Workers!$A$3:$A$51,0))),"Invalid Worker ID"))</f>
        <v/>
      </c>
      <c r="G115">
        <f>IF(OR(A115="",E115="Invalid Worker ID"),"",E115-F115)</f>
        <v/>
      </c>
      <c r="H115">
        <f>IF(A115="","",IFERROR(INDEX(Workers!$F$3:$F$51,MATCH(A115,Workers!$A$3:$A$51,0)),"Invalid Worker ID"))</f>
        <v/>
      </c>
      <c r="K115">
        <f>A115&amp;"|"&amp;C115</f>
        <v/>
      </c>
    </row>
    <row r="116">
      <c r="B116">
        <f>IF(A116="","",IFERROR(INDEX(Workers!$B$3:$B$51,MATCH(A116,Workers!$A$3:$A$51,0)),"Invalid Worker ID"))</f>
        <v/>
      </c>
      <c r="C116" s="15" t="n"/>
      <c r="E116">
        <f>IF(A116="","",IFERROR(IF(INDEX(Workers!$D$3:$D$51,MATCH(A116,Workers!$A$3:$A$51,0))="Per Day",D116*INDEX(Workers!$E$3:$E$51,MATCH(A116,Workers!$A$3:$A$51,0)),INDEX(Workers!$E$3:$E$51,MATCH(A116,Workers!$A$3:$A$51,0))),"Invalid Worker ID"))</f>
        <v/>
      </c>
      <c r="G116">
        <f>IF(OR(A116="",E116="Invalid Worker ID"),"",E116-F116)</f>
        <v/>
      </c>
      <c r="H116">
        <f>IF(A116="","",IFERROR(INDEX(Workers!$F$3:$F$51,MATCH(A116,Workers!$A$3:$A$51,0)),"Invalid Worker ID"))</f>
        <v/>
      </c>
      <c r="K116">
        <f>A116&amp;"|"&amp;C116</f>
        <v/>
      </c>
    </row>
    <row r="117">
      <c r="B117">
        <f>IF(A117="","",IFERROR(INDEX(Workers!$B$3:$B$51,MATCH(A117,Workers!$A$3:$A$51,0)),"Invalid Worker ID"))</f>
        <v/>
      </c>
      <c r="C117" s="15" t="n"/>
      <c r="E117">
        <f>IF(A117="","",IFERROR(IF(INDEX(Workers!$D$3:$D$51,MATCH(A117,Workers!$A$3:$A$51,0))="Per Day",D117*INDEX(Workers!$E$3:$E$51,MATCH(A117,Workers!$A$3:$A$51,0)),INDEX(Workers!$E$3:$E$51,MATCH(A117,Workers!$A$3:$A$51,0))),"Invalid Worker ID"))</f>
        <v/>
      </c>
      <c r="G117">
        <f>IF(OR(A117="",E117="Invalid Worker ID"),"",E117-F117)</f>
        <v/>
      </c>
      <c r="H117">
        <f>IF(A117="","",IFERROR(INDEX(Workers!$F$3:$F$51,MATCH(A117,Workers!$A$3:$A$51,0)),"Invalid Worker ID"))</f>
        <v/>
      </c>
      <c r="K117">
        <f>A117&amp;"|"&amp;C117</f>
        <v/>
      </c>
    </row>
    <row r="118">
      <c r="B118">
        <f>IF(A118="","",IFERROR(INDEX(Workers!$B$3:$B$51,MATCH(A118,Workers!$A$3:$A$51,0)),"Invalid Worker ID"))</f>
        <v/>
      </c>
      <c r="C118" s="15" t="n"/>
      <c r="E118">
        <f>IF(A118="","",IFERROR(IF(INDEX(Workers!$D$3:$D$51,MATCH(A118,Workers!$A$3:$A$51,0))="Per Day",D118*INDEX(Workers!$E$3:$E$51,MATCH(A118,Workers!$A$3:$A$51,0)),INDEX(Workers!$E$3:$E$51,MATCH(A118,Workers!$A$3:$A$51,0))),"Invalid Worker ID"))</f>
        <v/>
      </c>
      <c r="G118">
        <f>IF(OR(A118="",E118="Invalid Worker ID"),"",E118-F118)</f>
        <v/>
      </c>
      <c r="H118">
        <f>IF(A118="","",IFERROR(INDEX(Workers!$F$3:$F$51,MATCH(A118,Workers!$A$3:$A$51,0)),"Invalid Worker ID"))</f>
        <v/>
      </c>
      <c r="K118">
        <f>A118&amp;"|"&amp;C118</f>
        <v/>
      </c>
    </row>
    <row r="119">
      <c r="B119">
        <f>IF(A119="","",IFERROR(INDEX(Workers!$B$3:$B$51,MATCH(A119,Workers!$A$3:$A$51,0)),"Invalid Worker ID"))</f>
        <v/>
      </c>
      <c r="C119" s="15" t="n"/>
      <c r="E119">
        <f>IF(A119="","",IFERROR(IF(INDEX(Workers!$D$3:$D$51,MATCH(A119,Workers!$A$3:$A$51,0))="Per Day",D119*INDEX(Workers!$E$3:$E$51,MATCH(A119,Workers!$A$3:$A$51,0)),INDEX(Workers!$E$3:$E$51,MATCH(A119,Workers!$A$3:$A$51,0))),"Invalid Worker ID"))</f>
        <v/>
      </c>
      <c r="G119">
        <f>IF(OR(A119="",E119="Invalid Worker ID"),"",E119-F119)</f>
        <v/>
      </c>
      <c r="H119">
        <f>IF(A119="","",IFERROR(INDEX(Workers!$F$3:$F$51,MATCH(A119,Workers!$A$3:$A$51,0)),"Invalid Worker ID"))</f>
        <v/>
      </c>
      <c r="K119">
        <f>A119&amp;"|"&amp;C119</f>
        <v/>
      </c>
    </row>
    <row r="120">
      <c r="B120">
        <f>IF(A120="","",IFERROR(INDEX(Workers!$B$3:$B$51,MATCH(A120,Workers!$A$3:$A$51,0)),"Invalid Worker ID"))</f>
        <v/>
      </c>
      <c r="C120" s="15" t="n"/>
      <c r="E120">
        <f>IF(A120="","",IFERROR(IF(INDEX(Workers!$D$3:$D$51,MATCH(A120,Workers!$A$3:$A$51,0))="Per Day",D120*INDEX(Workers!$E$3:$E$51,MATCH(A120,Workers!$A$3:$A$51,0)),INDEX(Workers!$E$3:$E$51,MATCH(A120,Workers!$A$3:$A$51,0))),"Invalid Worker ID"))</f>
        <v/>
      </c>
      <c r="G120">
        <f>IF(OR(A120="",E120="Invalid Worker ID"),"",E120-F120)</f>
        <v/>
      </c>
      <c r="H120">
        <f>IF(A120="","",IFERROR(INDEX(Workers!$F$3:$F$51,MATCH(A120,Workers!$A$3:$A$51,0)),"Invalid Worker ID"))</f>
        <v/>
      </c>
      <c r="K120">
        <f>A120&amp;"|"&amp;C120</f>
        <v/>
      </c>
    </row>
    <row r="121">
      <c r="B121">
        <f>IF(A121="","",IFERROR(INDEX(Workers!$B$3:$B$51,MATCH(A121,Workers!$A$3:$A$51,0)),"Invalid Worker ID"))</f>
        <v/>
      </c>
      <c r="C121" s="15" t="n"/>
      <c r="E121">
        <f>IF(A121="","",IFERROR(IF(INDEX(Workers!$D$3:$D$51,MATCH(A121,Workers!$A$3:$A$51,0))="Per Day",D121*INDEX(Workers!$E$3:$E$51,MATCH(A121,Workers!$A$3:$A$51,0)),INDEX(Workers!$E$3:$E$51,MATCH(A121,Workers!$A$3:$A$51,0))),"Invalid Worker ID"))</f>
        <v/>
      </c>
      <c r="G121">
        <f>IF(OR(A121="",E121="Invalid Worker ID"),"",E121-F121)</f>
        <v/>
      </c>
      <c r="H121">
        <f>IF(A121="","",IFERROR(INDEX(Workers!$F$3:$F$51,MATCH(A121,Workers!$A$3:$A$51,0)),"Invalid Worker ID"))</f>
        <v/>
      </c>
      <c r="K121">
        <f>A121&amp;"|"&amp;C121</f>
        <v/>
      </c>
    </row>
    <row r="122">
      <c r="B122">
        <f>IF(A122="","",IFERROR(INDEX(Workers!$B$3:$B$51,MATCH(A122,Workers!$A$3:$A$51,0)),"Invalid Worker ID"))</f>
        <v/>
      </c>
      <c r="C122" s="15" t="n"/>
      <c r="E122">
        <f>IF(A122="","",IFERROR(IF(INDEX(Workers!$D$3:$D$51,MATCH(A122,Workers!$A$3:$A$51,0))="Per Day",D122*INDEX(Workers!$E$3:$E$51,MATCH(A122,Workers!$A$3:$A$51,0)),INDEX(Workers!$E$3:$E$51,MATCH(A122,Workers!$A$3:$A$51,0))),"Invalid Worker ID"))</f>
        <v/>
      </c>
      <c r="G122">
        <f>IF(OR(A122="",E122="Invalid Worker ID"),"",E122-F122)</f>
        <v/>
      </c>
      <c r="H122">
        <f>IF(A122="","",IFERROR(INDEX(Workers!$F$3:$F$51,MATCH(A122,Workers!$A$3:$A$51,0)),"Invalid Worker ID"))</f>
        <v/>
      </c>
      <c r="K122">
        <f>A122&amp;"|"&amp;C122</f>
        <v/>
      </c>
    </row>
    <row r="123">
      <c r="B123">
        <f>IF(A123="","",IFERROR(INDEX(Workers!$B$3:$B$51,MATCH(A123,Workers!$A$3:$A$51,0)),"Invalid Worker ID"))</f>
        <v/>
      </c>
      <c r="C123" s="15" t="n"/>
      <c r="E123">
        <f>IF(A123="","",IFERROR(IF(INDEX(Workers!$D$3:$D$51,MATCH(A123,Workers!$A$3:$A$51,0))="Per Day",D123*INDEX(Workers!$E$3:$E$51,MATCH(A123,Workers!$A$3:$A$51,0)),INDEX(Workers!$E$3:$E$51,MATCH(A123,Workers!$A$3:$A$51,0))),"Invalid Worker ID"))</f>
        <v/>
      </c>
      <c r="G123">
        <f>IF(OR(A123="",E123="Invalid Worker ID"),"",E123-F123)</f>
        <v/>
      </c>
      <c r="H123">
        <f>IF(A123="","",IFERROR(INDEX(Workers!$F$3:$F$51,MATCH(A123,Workers!$A$3:$A$51,0)),"Invalid Worker ID"))</f>
        <v/>
      </c>
      <c r="K123">
        <f>A123&amp;"|"&amp;C123</f>
        <v/>
      </c>
    </row>
    <row r="124">
      <c r="B124">
        <f>IF(A124="","",IFERROR(INDEX(Workers!$B$3:$B$51,MATCH(A124,Workers!$A$3:$A$51,0)),"Invalid Worker ID"))</f>
        <v/>
      </c>
      <c r="C124" s="15" t="n"/>
      <c r="E124">
        <f>IF(A124="","",IFERROR(IF(INDEX(Workers!$D$3:$D$51,MATCH(A124,Workers!$A$3:$A$51,0))="Per Day",D124*INDEX(Workers!$E$3:$E$51,MATCH(A124,Workers!$A$3:$A$51,0)),INDEX(Workers!$E$3:$E$51,MATCH(A124,Workers!$A$3:$A$51,0))),"Invalid Worker ID"))</f>
        <v/>
      </c>
      <c r="G124">
        <f>IF(OR(A124="",E124="Invalid Worker ID"),"",E124-F124)</f>
        <v/>
      </c>
      <c r="H124">
        <f>IF(A124="","",IFERROR(INDEX(Workers!$F$3:$F$51,MATCH(A124,Workers!$A$3:$A$51,0)),"Invalid Worker ID"))</f>
        <v/>
      </c>
      <c r="K124">
        <f>A124&amp;"|"&amp;C124</f>
        <v/>
      </c>
    </row>
    <row r="125">
      <c r="B125">
        <f>IF(A125="","",IFERROR(INDEX(Workers!$B$3:$B$51,MATCH(A125,Workers!$A$3:$A$51,0)),"Invalid Worker ID"))</f>
        <v/>
      </c>
      <c r="C125" s="15" t="n"/>
      <c r="E125">
        <f>IF(A125="","",IFERROR(IF(INDEX(Workers!$D$3:$D$51,MATCH(A125,Workers!$A$3:$A$51,0))="Per Day",D125*INDEX(Workers!$E$3:$E$51,MATCH(A125,Workers!$A$3:$A$51,0)),INDEX(Workers!$E$3:$E$51,MATCH(A125,Workers!$A$3:$A$51,0))),"Invalid Worker ID"))</f>
        <v/>
      </c>
      <c r="G125">
        <f>IF(OR(A125="",E125="Invalid Worker ID"),"",E125-F125)</f>
        <v/>
      </c>
      <c r="H125">
        <f>IF(A125="","",IFERROR(INDEX(Workers!$F$3:$F$51,MATCH(A125,Workers!$A$3:$A$51,0)),"Invalid Worker ID"))</f>
        <v/>
      </c>
      <c r="K125">
        <f>A125&amp;"|"&amp;C125</f>
        <v/>
      </c>
    </row>
    <row r="126">
      <c r="B126">
        <f>IF(A126="","",IFERROR(INDEX(Workers!$B$3:$B$51,MATCH(A126,Workers!$A$3:$A$51,0)),"Invalid Worker ID"))</f>
        <v/>
      </c>
      <c r="C126" s="15" t="n"/>
      <c r="E126">
        <f>IF(A126="","",IFERROR(IF(INDEX(Workers!$D$3:$D$51,MATCH(A126,Workers!$A$3:$A$51,0))="Per Day",D126*INDEX(Workers!$E$3:$E$51,MATCH(A126,Workers!$A$3:$A$51,0)),INDEX(Workers!$E$3:$E$51,MATCH(A126,Workers!$A$3:$A$51,0))),"Invalid Worker ID"))</f>
        <v/>
      </c>
      <c r="G126">
        <f>IF(OR(A126="",E126="Invalid Worker ID"),"",E126-F126)</f>
        <v/>
      </c>
      <c r="H126">
        <f>IF(A126="","",IFERROR(INDEX(Workers!$F$3:$F$51,MATCH(A126,Workers!$A$3:$A$51,0)),"Invalid Worker ID"))</f>
        <v/>
      </c>
      <c r="K126">
        <f>A126&amp;"|"&amp;C126</f>
        <v/>
      </c>
    </row>
    <row r="127">
      <c r="B127">
        <f>IF(A127="","",IFERROR(INDEX(Workers!$B$3:$B$51,MATCH(A127,Workers!$A$3:$A$51,0)),"Invalid Worker ID"))</f>
        <v/>
      </c>
      <c r="C127" s="15" t="n"/>
      <c r="E127">
        <f>IF(A127="","",IFERROR(IF(INDEX(Workers!$D$3:$D$51,MATCH(A127,Workers!$A$3:$A$51,0))="Per Day",D127*INDEX(Workers!$E$3:$E$51,MATCH(A127,Workers!$A$3:$A$51,0)),INDEX(Workers!$E$3:$E$51,MATCH(A127,Workers!$A$3:$A$51,0))),"Invalid Worker ID"))</f>
        <v/>
      </c>
      <c r="G127">
        <f>IF(OR(A127="",E127="Invalid Worker ID"),"",E127-F127)</f>
        <v/>
      </c>
      <c r="H127">
        <f>IF(A127="","",IFERROR(INDEX(Workers!$F$3:$F$51,MATCH(A127,Workers!$A$3:$A$51,0)),"Invalid Worker ID"))</f>
        <v/>
      </c>
      <c r="K127">
        <f>A127&amp;"|"&amp;C127</f>
        <v/>
      </c>
    </row>
    <row r="128">
      <c r="B128">
        <f>IF(A128="","",IFERROR(INDEX(Workers!$B$3:$B$51,MATCH(A128,Workers!$A$3:$A$51,0)),"Invalid Worker ID"))</f>
        <v/>
      </c>
      <c r="C128" s="15" t="n"/>
      <c r="E128">
        <f>IF(A128="","",IFERROR(IF(INDEX(Workers!$D$3:$D$51,MATCH(A128,Workers!$A$3:$A$51,0))="Per Day",D128*INDEX(Workers!$E$3:$E$51,MATCH(A128,Workers!$A$3:$A$51,0)),INDEX(Workers!$E$3:$E$51,MATCH(A128,Workers!$A$3:$A$51,0))),"Invalid Worker ID"))</f>
        <v/>
      </c>
      <c r="G128">
        <f>IF(OR(A128="",E128="Invalid Worker ID"),"",E128-F128)</f>
        <v/>
      </c>
      <c r="H128">
        <f>IF(A128="","",IFERROR(INDEX(Workers!$F$3:$F$51,MATCH(A128,Workers!$A$3:$A$51,0)),"Invalid Worker ID"))</f>
        <v/>
      </c>
      <c r="K128">
        <f>A128&amp;"|"&amp;C128</f>
        <v/>
      </c>
    </row>
    <row r="129">
      <c r="B129">
        <f>IF(A129="","",IFERROR(INDEX(Workers!$B$3:$B$51,MATCH(A129,Workers!$A$3:$A$51,0)),"Invalid Worker ID"))</f>
        <v/>
      </c>
      <c r="C129" s="15" t="n"/>
      <c r="E129">
        <f>IF(A129="","",IFERROR(IF(INDEX(Workers!$D$3:$D$51,MATCH(A129,Workers!$A$3:$A$51,0))="Per Day",D129*INDEX(Workers!$E$3:$E$51,MATCH(A129,Workers!$A$3:$A$51,0)),INDEX(Workers!$E$3:$E$51,MATCH(A129,Workers!$A$3:$A$51,0))),"Invalid Worker ID"))</f>
        <v/>
      </c>
      <c r="G129">
        <f>IF(OR(A129="",E129="Invalid Worker ID"),"",E129-F129)</f>
        <v/>
      </c>
      <c r="H129">
        <f>IF(A129="","",IFERROR(INDEX(Workers!$F$3:$F$51,MATCH(A129,Workers!$A$3:$A$51,0)),"Invalid Worker ID"))</f>
        <v/>
      </c>
      <c r="K129">
        <f>A129&amp;"|"&amp;C129</f>
        <v/>
      </c>
    </row>
    <row r="130">
      <c r="B130">
        <f>IF(A130="","",IFERROR(INDEX(Workers!$B$3:$B$51,MATCH(A130,Workers!$A$3:$A$51,0)),"Invalid Worker ID"))</f>
        <v/>
      </c>
      <c r="C130" s="15" t="n"/>
      <c r="E130">
        <f>IF(A130="","",IFERROR(IF(INDEX(Workers!$D$3:$D$51,MATCH(A130,Workers!$A$3:$A$51,0))="Per Day",D130*INDEX(Workers!$E$3:$E$51,MATCH(A130,Workers!$A$3:$A$51,0)),INDEX(Workers!$E$3:$E$51,MATCH(A130,Workers!$A$3:$A$51,0))),"Invalid Worker ID"))</f>
        <v/>
      </c>
      <c r="G130">
        <f>IF(OR(A130="",E130="Invalid Worker ID"),"",E130-F130)</f>
        <v/>
      </c>
      <c r="H130">
        <f>IF(A130="","",IFERROR(INDEX(Workers!$F$3:$F$51,MATCH(A130,Workers!$A$3:$A$51,0)),"Invalid Worker ID"))</f>
        <v/>
      </c>
      <c r="K130">
        <f>A130&amp;"|"&amp;C130</f>
        <v/>
      </c>
    </row>
    <row r="131">
      <c r="B131">
        <f>IF(A131="","",IFERROR(INDEX(Workers!$B$3:$B$51,MATCH(A131,Workers!$A$3:$A$51,0)),"Invalid Worker ID"))</f>
        <v/>
      </c>
      <c r="C131" s="15" t="n"/>
      <c r="E131">
        <f>IF(A131="","",IFERROR(IF(INDEX(Workers!$D$3:$D$51,MATCH(A131,Workers!$A$3:$A$51,0))="Per Day",D131*INDEX(Workers!$E$3:$E$51,MATCH(A131,Workers!$A$3:$A$51,0)),INDEX(Workers!$E$3:$E$51,MATCH(A131,Workers!$A$3:$A$51,0))),"Invalid Worker ID"))</f>
        <v/>
      </c>
      <c r="G131">
        <f>IF(OR(A131="",E131="Invalid Worker ID"),"",E131-F131)</f>
        <v/>
      </c>
      <c r="H131">
        <f>IF(A131="","",IFERROR(INDEX(Workers!$F$3:$F$51,MATCH(A131,Workers!$A$3:$A$51,0)),"Invalid Worker ID"))</f>
        <v/>
      </c>
      <c r="K131">
        <f>A131&amp;"|"&amp;C131</f>
        <v/>
      </c>
    </row>
    <row r="132">
      <c r="B132">
        <f>IF(A132="","",IFERROR(INDEX(Workers!$B$3:$B$51,MATCH(A132,Workers!$A$3:$A$51,0)),"Invalid Worker ID"))</f>
        <v/>
      </c>
      <c r="C132" s="15" t="n"/>
      <c r="E132">
        <f>IF(A132="","",IFERROR(IF(INDEX(Workers!$D$3:$D$51,MATCH(A132,Workers!$A$3:$A$51,0))="Per Day",D132*INDEX(Workers!$E$3:$E$51,MATCH(A132,Workers!$A$3:$A$51,0)),INDEX(Workers!$E$3:$E$51,MATCH(A132,Workers!$A$3:$A$51,0))),"Invalid Worker ID"))</f>
        <v/>
      </c>
      <c r="G132">
        <f>IF(OR(A132="",E132="Invalid Worker ID"),"",E132-F132)</f>
        <v/>
      </c>
      <c r="H132">
        <f>IF(A132="","",IFERROR(INDEX(Workers!$F$3:$F$51,MATCH(A132,Workers!$A$3:$A$51,0)),"Invalid Worker ID"))</f>
        <v/>
      </c>
      <c r="K132">
        <f>A132&amp;"|"&amp;C132</f>
        <v/>
      </c>
    </row>
    <row r="133">
      <c r="B133">
        <f>IF(A133="","",IFERROR(INDEX(Workers!$B$3:$B$51,MATCH(A133,Workers!$A$3:$A$51,0)),"Invalid Worker ID"))</f>
        <v/>
      </c>
      <c r="C133" s="15" t="n"/>
      <c r="E133">
        <f>IF(A133="","",IFERROR(IF(INDEX(Workers!$D$3:$D$51,MATCH(A133,Workers!$A$3:$A$51,0))="Per Day",D133*INDEX(Workers!$E$3:$E$51,MATCH(A133,Workers!$A$3:$A$51,0)),INDEX(Workers!$E$3:$E$51,MATCH(A133,Workers!$A$3:$A$51,0))),"Invalid Worker ID"))</f>
        <v/>
      </c>
      <c r="G133">
        <f>IF(OR(A133="",E133="Invalid Worker ID"),"",E133-F133)</f>
        <v/>
      </c>
      <c r="H133">
        <f>IF(A133="","",IFERROR(INDEX(Workers!$F$3:$F$51,MATCH(A133,Workers!$A$3:$A$51,0)),"Invalid Worker ID"))</f>
        <v/>
      </c>
      <c r="K133">
        <f>A133&amp;"|"&amp;C133</f>
        <v/>
      </c>
    </row>
    <row r="134">
      <c r="B134">
        <f>IF(A134="","",IFERROR(INDEX(Workers!$B$3:$B$51,MATCH(A134,Workers!$A$3:$A$51,0)),"Invalid Worker ID"))</f>
        <v/>
      </c>
      <c r="C134" s="15" t="n"/>
      <c r="E134">
        <f>IF(A134="","",IFERROR(IF(INDEX(Workers!$D$3:$D$51,MATCH(A134,Workers!$A$3:$A$51,0))="Per Day",D134*INDEX(Workers!$E$3:$E$51,MATCH(A134,Workers!$A$3:$A$51,0)),INDEX(Workers!$E$3:$E$51,MATCH(A134,Workers!$A$3:$A$51,0))),"Invalid Worker ID"))</f>
        <v/>
      </c>
      <c r="G134">
        <f>IF(OR(A134="",E134="Invalid Worker ID"),"",E134-F134)</f>
        <v/>
      </c>
      <c r="H134">
        <f>IF(A134="","",IFERROR(INDEX(Workers!$F$3:$F$51,MATCH(A134,Workers!$A$3:$A$51,0)),"Invalid Worker ID"))</f>
        <v/>
      </c>
      <c r="K134">
        <f>A134&amp;"|"&amp;C134</f>
        <v/>
      </c>
    </row>
    <row r="135">
      <c r="B135">
        <f>IF(A135="","",IFERROR(INDEX(Workers!$B$3:$B$51,MATCH(A135,Workers!$A$3:$A$51,0)),"Invalid Worker ID"))</f>
        <v/>
      </c>
      <c r="C135" s="15" t="n"/>
      <c r="E135">
        <f>IF(A135="","",IFERROR(IF(INDEX(Workers!$D$3:$D$51,MATCH(A135,Workers!$A$3:$A$51,0))="Per Day",D135*INDEX(Workers!$E$3:$E$51,MATCH(A135,Workers!$A$3:$A$51,0)),INDEX(Workers!$E$3:$E$51,MATCH(A135,Workers!$A$3:$A$51,0))),"Invalid Worker ID"))</f>
        <v/>
      </c>
      <c r="G135">
        <f>IF(OR(A135="",E135="Invalid Worker ID"),"",E135-F135)</f>
        <v/>
      </c>
      <c r="H135">
        <f>IF(A135="","",IFERROR(INDEX(Workers!$F$3:$F$51,MATCH(A135,Workers!$A$3:$A$51,0)),"Invalid Worker ID"))</f>
        <v/>
      </c>
      <c r="K135">
        <f>A135&amp;"|"&amp;C135</f>
        <v/>
      </c>
    </row>
    <row r="136">
      <c r="B136">
        <f>IF(A136="","",IFERROR(INDEX(Workers!$B$3:$B$51,MATCH(A136,Workers!$A$3:$A$51,0)),"Invalid Worker ID"))</f>
        <v/>
      </c>
      <c r="C136" s="15" t="n"/>
      <c r="E136">
        <f>IF(A136="","",IFERROR(IF(INDEX(Workers!$D$3:$D$51,MATCH(A136,Workers!$A$3:$A$51,0))="Per Day",D136*INDEX(Workers!$E$3:$E$51,MATCH(A136,Workers!$A$3:$A$51,0)),INDEX(Workers!$E$3:$E$51,MATCH(A136,Workers!$A$3:$A$51,0))),"Invalid Worker ID"))</f>
        <v/>
      </c>
      <c r="G136">
        <f>IF(OR(A136="",E136="Invalid Worker ID"),"",E136-F136)</f>
        <v/>
      </c>
      <c r="H136">
        <f>IF(A136="","",IFERROR(INDEX(Workers!$F$3:$F$51,MATCH(A136,Workers!$A$3:$A$51,0)),"Invalid Worker ID"))</f>
        <v/>
      </c>
      <c r="K136">
        <f>A136&amp;"|"&amp;C136</f>
        <v/>
      </c>
    </row>
    <row r="137">
      <c r="B137">
        <f>IF(A137="","",IFERROR(INDEX(Workers!$B$3:$B$51,MATCH(A137,Workers!$A$3:$A$51,0)),"Invalid Worker ID"))</f>
        <v/>
      </c>
      <c r="C137" s="15" t="n"/>
      <c r="E137">
        <f>IF(A137="","",IFERROR(IF(INDEX(Workers!$D$3:$D$51,MATCH(A137,Workers!$A$3:$A$51,0))="Per Day",D137*INDEX(Workers!$E$3:$E$51,MATCH(A137,Workers!$A$3:$A$51,0)),INDEX(Workers!$E$3:$E$51,MATCH(A137,Workers!$A$3:$A$51,0))),"Invalid Worker ID"))</f>
        <v/>
      </c>
      <c r="G137">
        <f>IF(OR(A137="",E137="Invalid Worker ID"),"",E137-F137)</f>
        <v/>
      </c>
      <c r="H137">
        <f>IF(A137="","",IFERROR(INDEX(Workers!$F$3:$F$51,MATCH(A137,Workers!$A$3:$A$51,0)),"Invalid Worker ID"))</f>
        <v/>
      </c>
      <c r="K137">
        <f>A137&amp;"|"&amp;C137</f>
        <v/>
      </c>
    </row>
    <row r="138">
      <c r="B138">
        <f>IF(A138="","",IFERROR(INDEX(Workers!$B$3:$B$51,MATCH(A138,Workers!$A$3:$A$51,0)),"Invalid Worker ID"))</f>
        <v/>
      </c>
      <c r="C138" s="15" t="n"/>
      <c r="E138">
        <f>IF(A138="","",IFERROR(IF(INDEX(Workers!$D$3:$D$51,MATCH(A138,Workers!$A$3:$A$51,0))="Per Day",D138*INDEX(Workers!$E$3:$E$51,MATCH(A138,Workers!$A$3:$A$51,0)),INDEX(Workers!$E$3:$E$51,MATCH(A138,Workers!$A$3:$A$51,0))),"Invalid Worker ID"))</f>
        <v/>
      </c>
      <c r="G138">
        <f>IF(OR(A138="",E138="Invalid Worker ID"),"",E138-F138)</f>
        <v/>
      </c>
      <c r="H138">
        <f>IF(A138="","",IFERROR(INDEX(Workers!$F$3:$F$51,MATCH(A138,Workers!$A$3:$A$51,0)),"Invalid Worker ID"))</f>
        <v/>
      </c>
      <c r="K138">
        <f>A138&amp;"|"&amp;C138</f>
        <v/>
      </c>
    </row>
    <row r="139">
      <c r="B139">
        <f>IF(A139="","",IFERROR(INDEX(Workers!$B$3:$B$51,MATCH(A139,Workers!$A$3:$A$51,0)),"Invalid Worker ID"))</f>
        <v/>
      </c>
      <c r="C139" s="15" t="n"/>
      <c r="E139">
        <f>IF(A139="","",IFERROR(IF(INDEX(Workers!$D$3:$D$51,MATCH(A139,Workers!$A$3:$A$51,0))="Per Day",D139*INDEX(Workers!$E$3:$E$51,MATCH(A139,Workers!$A$3:$A$51,0)),INDEX(Workers!$E$3:$E$51,MATCH(A139,Workers!$A$3:$A$51,0))),"Invalid Worker ID"))</f>
        <v/>
      </c>
      <c r="G139">
        <f>IF(OR(A139="",E139="Invalid Worker ID"),"",E139-F139)</f>
        <v/>
      </c>
      <c r="H139">
        <f>IF(A139="","",IFERROR(INDEX(Workers!$F$3:$F$51,MATCH(A139,Workers!$A$3:$A$51,0)),"Invalid Worker ID"))</f>
        <v/>
      </c>
      <c r="K139">
        <f>A139&amp;"|"&amp;C139</f>
        <v/>
      </c>
    </row>
    <row r="140">
      <c r="B140">
        <f>IF(A140="","",IFERROR(INDEX(Workers!$B$3:$B$51,MATCH(A140,Workers!$A$3:$A$51,0)),"Invalid Worker ID"))</f>
        <v/>
      </c>
      <c r="C140" s="15" t="n"/>
      <c r="E140">
        <f>IF(A140="","",IFERROR(IF(INDEX(Workers!$D$3:$D$51,MATCH(A140,Workers!$A$3:$A$51,0))="Per Day",D140*INDEX(Workers!$E$3:$E$51,MATCH(A140,Workers!$A$3:$A$51,0)),INDEX(Workers!$E$3:$E$51,MATCH(A140,Workers!$A$3:$A$51,0))),"Invalid Worker ID"))</f>
        <v/>
      </c>
      <c r="G140">
        <f>IF(OR(A140="",E140="Invalid Worker ID"),"",E140-F140)</f>
        <v/>
      </c>
      <c r="H140">
        <f>IF(A140="","",IFERROR(INDEX(Workers!$F$3:$F$51,MATCH(A140,Workers!$A$3:$A$51,0)),"Invalid Worker ID"))</f>
        <v/>
      </c>
      <c r="K140">
        <f>A140&amp;"|"&amp;C140</f>
        <v/>
      </c>
    </row>
    <row r="141">
      <c r="B141">
        <f>IF(A141="","",IFERROR(INDEX(Workers!$B$3:$B$51,MATCH(A141,Workers!$A$3:$A$51,0)),"Invalid Worker ID"))</f>
        <v/>
      </c>
      <c r="C141" s="15" t="n"/>
      <c r="E141">
        <f>IF(A141="","",IFERROR(IF(INDEX(Workers!$D$3:$D$51,MATCH(A141,Workers!$A$3:$A$51,0))="Per Day",D141*INDEX(Workers!$E$3:$E$51,MATCH(A141,Workers!$A$3:$A$51,0)),INDEX(Workers!$E$3:$E$51,MATCH(A141,Workers!$A$3:$A$51,0))),"Invalid Worker ID"))</f>
        <v/>
      </c>
      <c r="G141">
        <f>IF(OR(A141="",E141="Invalid Worker ID"),"",E141-F141)</f>
        <v/>
      </c>
      <c r="H141">
        <f>IF(A141="","",IFERROR(INDEX(Workers!$F$3:$F$51,MATCH(A141,Workers!$A$3:$A$51,0)),"Invalid Worker ID"))</f>
        <v/>
      </c>
      <c r="K141">
        <f>A141&amp;"|"&amp;C141</f>
        <v/>
      </c>
    </row>
    <row r="142">
      <c r="B142">
        <f>IF(A142="","",IFERROR(INDEX(Workers!$B$3:$B$51,MATCH(A142,Workers!$A$3:$A$51,0)),"Invalid Worker ID"))</f>
        <v/>
      </c>
      <c r="C142" s="15" t="n"/>
      <c r="E142">
        <f>IF(A142="","",IFERROR(IF(INDEX(Workers!$D$3:$D$51,MATCH(A142,Workers!$A$3:$A$51,0))="Per Day",D142*INDEX(Workers!$E$3:$E$51,MATCH(A142,Workers!$A$3:$A$51,0)),INDEX(Workers!$E$3:$E$51,MATCH(A142,Workers!$A$3:$A$51,0))),"Invalid Worker ID"))</f>
        <v/>
      </c>
      <c r="G142">
        <f>IF(OR(A142="",E142="Invalid Worker ID"),"",E142-F142)</f>
        <v/>
      </c>
      <c r="H142">
        <f>IF(A142="","",IFERROR(INDEX(Workers!$F$3:$F$51,MATCH(A142,Workers!$A$3:$A$51,0)),"Invalid Worker ID"))</f>
        <v/>
      </c>
      <c r="K142">
        <f>A142&amp;"|"&amp;C142</f>
        <v/>
      </c>
    </row>
    <row r="143">
      <c r="B143">
        <f>IF(A143="","",IFERROR(INDEX(Workers!$B$3:$B$51,MATCH(A143,Workers!$A$3:$A$51,0)),"Invalid Worker ID"))</f>
        <v/>
      </c>
      <c r="C143" s="15" t="n"/>
      <c r="E143">
        <f>IF(A143="","",IFERROR(IF(INDEX(Workers!$D$3:$D$51,MATCH(A143,Workers!$A$3:$A$51,0))="Per Day",D143*INDEX(Workers!$E$3:$E$51,MATCH(A143,Workers!$A$3:$A$51,0)),INDEX(Workers!$E$3:$E$51,MATCH(A143,Workers!$A$3:$A$51,0))),"Invalid Worker ID"))</f>
        <v/>
      </c>
      <c r="G143">
        <f>IF(OR(A143="",E143="Invalid Worker ID"),"",E143-F143)</f>
        <v/>
      </c>
      <c r="H143">
        <f>IF(A143="","",IFERROR(INDEX(Workers!$F$3:$F$51,MATCH(A143,Workers!$A$3:$A$51,0)),"Invalid Worker ID"))</f>
        <v/>
      </c>
      <c r="K143">
        <f>A143&amp;"|"&amp;C143</f>
        <v/>
      </c>
    </row>
    <row r="144">
      <c r="B144">
        <f>IF(A144="","",IFERROR(INDEX(Workers!$B$3:$B$51,MATCH(A144,Workers!$A$3:$A$51,0)),"Invalid Worker ID"))</f>
        <v/>
      </c>
      <c r="C144" s="15" t="n"/>
      <c r="E144">
        <f>IF(A144="","",IFERROR(IF(INDEX(Workers!$D$3:$D$51,MATCH(A144,Workers!$A$3:$A$51,0))="Per Day",D144*INDEX(Workers!$E$3:$E$51,MATCH(A144,Workers!$A$3:$A$51,0)),INDEX(Workers!$E$3:$E$51,MATCH(A144,Workers!$A$3:$A$51,0))),"Invalid Worker ID"))</f>
        <v/>
      </c>
      <c r="G144">
        <f>IF(OR(A144="",E144="Invalid Worker ID"),"",E144-F144)</f>
        <v/>
      </c>
      <c r="H144">
        <f>IF(A144="","",IFERROR(INDEX(Workers!$F$3:$F$51,MATCH(A144,Workers!$A$3:$A$51,0)),"Invalid Worker ID"))</f>
        <v/>
      </c>
      <c r="K144">
        <f>A144&amp;"|"&amp;C144</f>
        <v/>
      </c>
    </row>
    <row r="145">
      <c r="B145">
        <f>IF(A145="","",IFERROR(INDEX(Workers!$B$3:$B$51,MATCH(A145,Workers!$A$3:$A$51,0)),"Invalid Worker ID"))</f>
        <v/>
      </c>
      <c r="C145" s="15" t="n"/>
      <c r="E145">
        <f>IF(A145="","",IFERROR(IF(INDEX(Workers!$D$3:$D$51,MATCH(A145,Workers!$A$3:$A$51,0))="Per Day",D145*INDEX(Workers!$E$3:$E$51,MATCH(A145,Workers!$A$3:$A$51,0)),INDEX(Workers!$E$3:$E$51,MATCH(A145,Workers!$A$3:$A$51,0))),"Invalid Worker ID"))</f>
        <v/>
      </c>
      <c r="G145">
        <f>IF(OR(A145="",E145="Invalid Worker ID"),"",E145-F145)</f>
        <v/>
      </c>
      <c r="H145">
        <f>IF(A145="","",IFERROR(INDEX(Workers!$F$3:$F$51,MATCH(A145,Workers!$A$3:$A$51,0)),"Invalid Worker ID"))</f>
        <v/>
      </c>
      <c r="K145">
        <f>A145&amp;"|"&amp;C145</f>
        <v/>
      </c>
    </row>
    <row r="146">
      <c r="B146">
        <f>IF(A146="","",IFERROR(INDEX(Workers!$B$3:$B$51,MATCH(A146,Workers!$A$3:$A$51,0)),"Invalid Worker ID"))</f>
        <v/>
      </c>
      <c r="C146" s="15" t="n"/>
      <c r="E146">
        <f>IF(A146="","",IFERROR(IF(INDEX(Workers!$D$3:$D$51,MATCH(A146,Workers!$A$3:$A$51,0))="Per Day",D146*INDEX(Workers!$E$3:$E$51,MATCH(A146,Workers!$A$3:$A$51,0)),INDEX(Workers!$E$3:$E$51,MATCH(A146,Workers!$A$3:$A$51,0))),"Invalid Worker ID"))</f>
        <v/>
      </c>
      <c r="G146">
        <f>IF(OR(A146="",E146="Invalid Worker ID"),"",E146-F146)</f>
        <v/>
      </c>
      <c r="H146">
        <f>IF(A146="","",IFERROR(INDEX(Workers!$F$3:$F$51,MATCH(A146,Workers!$A$3:$A$51,0)),"Invalid Worker ID"))</f>
        <v/>
      </c>
      <c r="K146">
        <f>A146&amp;"|"&amp;C146</f>
        <v/>
      </c>
    </row>
    <row r="147">
      <c r="B147">
        <f>IF(A147="","",IFERROR(INDEX(Workers!$B$3:$B$51,MATCH(A147,Workers!$A$3:$A$51,0)),"Invalid Worker ID"))</f>
        <v/>
      </c>
      <c r="C147" s="15" t="n"/>
      <c r="E147">
        <f>IF(A147="","",IFERROR(IF(INDEX(Workers!$D$3:$D$51,MATCH(A147,Workers!$A$3:$A$51,0))="Per Day",D147*INDEX(Workers!$E$3:$E$51,MATCH(A147,Workers!$A$3:$A$51,0)),INDEX(Workers!$E$3:$E$51,MATCH(A147,Workers!$A$3:$A$51,0))),"Invalid Worker ID"))</f>
        <v/>
      </c>
      <c r="G147">
        <f>IF(OR(A147="",E147="Invalid Worker ID"),"",E147-F147)</f>
        <v/>
      </c>
      <c r="H147">
        <f>IF(A147="","",IFERROR(INDEX(Workers!$F$3:$F$51,MATCH(A147,Workers!$A$3:$A$51,0)),"Invalid Worker ID"))</f>
        <v/>
      </c>
      <c r="K147">
        <f>A147&amp;"|"&amp;C147</f>
        <v/>
      </c>
    </row>
    <row r="148">
      <c r="B148">
        <f>IF(A148="","",IFERROR(INDEX(Workers!$B$3:$B$51,MATCH(A148,Workers!$A$3:$A$51,0)),"Invalid Worker ID"))</f>
        <v/>
      </c>
      <c r="C148" s="15" t="n"/>
      <c r="E148">
        <f>IF(A148="","",IFERROR(IF(INDEX(Workers!$D$3:$D$51,MATCH(A148,Workers!$A$3:$A$51,0))="Per Day",D148*INDEX(Workers!$E$3:$E$51,MATCH(A148,Workers!$A$3:$A$51,0)),INDEX(Workers!$E$3:$E$51,MATCH(A148,Workers!$A$3:$A$51,0))),"Invalid Worker ID"))</f>
        <v/>
      </c>
      <c r="G148">
        <f>IF(OR(A148="",E148="Invalid Worker ID"),"",E148-F148)</f>
        <v/>
      </c>
      <c r="H148">
        <f>IF(A148="","",IFERROR(INDEX(Workers!$F$3:$F$51,MATCH(A148,Workers!$A$3:$A$51,0)),"Invalid Worker ID"))</f>
        <v/>
      </c>
      <c r="K148">
        <f>A148&amp;"|"&amp;C148</f>
        <v/>
      </c>
    </row>
    <row r="149">
      <c r="B149">
        <f>IF(A149="","",IFERROR(INDEX(Workers!$B$3:$B$51,MATCH(A149,Workers!$A$3:$A$51,0)),"Invalid Worker ID"))</f>
        <v/>
      </c>
      <c r="C149" s="15" t="n"/>
      <c r="E149">
        <f>IF(A149="","",IFERROR(IF(INDEX(Workers!$D$3:$D$51,MATCH(A149,Workers!$A$3:$A$51,0))="Per Day",D149*INDEX(Workers!$E$3:$E$51,MATCH(A149,Workers!$A$3:$A$51,0)),INDEX(Workers!$E$3:$E$51,MATCH(A149,Workers!$A$3:$A$51,0))),"Invalid Worker ID"))</f>
        <v/>
      </c>
      <c r="G149">
        <f>IF(OR(A149="",E149="Invalid Worker ID"),"",E149-F149)</f>
        <v/>
      </c>
      <c r="H149">
        <f>IF(A149="","",IFERROR(INDEX(Workers!$F$3:$F$51,MATCH(A149,Workers!$A$3:$A$51,0)),"Invalid Worker ID"))</f>
        <v/>
      </c>
      <c r="K149">
        <f>A149&amp;"|"&amp;C149</f>
        <v/>
      </c>
    </row>
    <row r="150">
      <c r="B150">
        <f>IF(A150="","",IFERROR(INDEX(Workers!$B$3:$B$51,MATCH(A150,Workers!$A$3:$A$51,0)),"Invalid Worker ID"))</f>
        <v/>
      </c>
      <c r="C150" s="15" t="n"/>
      <c r="E150">
        <f>IF(A150="","",IFERROR(IF(INDEX(Workers!$D$3:$D$51,MATCH(A150,Workers!$A$3:$A$51,0))="Per Day",D150*INDEX(Workers!$E$3:$E$51,MATCH(A150,Workers!$A$3:$A$51,0)),INDEX(Workers!$E$3:$E$51,MATCH(A150,Workers!$A$3:$A$51,0))),"Invalid Worker ID"))</f>
        <v/>
      </c>
      <c r="G150">
        <f>IF(OR(A150="",E150="Invalid Worker ID"),"",E150-F150)</f>
        <v/>
      </c>
      <c r="H150">
        <f>IF(A150="","",IFERROR(INDEX(Workers!$F$3:$F$51,MATCH(A150,Workers!$A$3:$A$51,0)),"Invalid Worker ID"))</f>
        <v/>
      </c>
      <c r="K150">
        <f>A150&amp;"|"&amp;C150</f>
        <v/>
      </c>
    </row>
    <row r="151">
      <c r="B151">
        <f>IF(A151="","",IFERROR(INDEX(Workers!$B$3:$B$51,MATCH(A151,Workers!$A$3:$A$51,0)),"Invalid Worker ID"))</f>
        <v/>
      </c>
      <c r="C151" s="15" t="n"/>
      <c r="E151">
        <f>IF(A151="","",IFERROR(IF(INDEX(Workers!$D$3:$D$51,MATCH(A151,Workers!$A$3:$A$51,0))="Per Day",D151*INDEX(Workers!$E$3:$E$51,MATCH(A151,Workers!$A$3:$A$51,0)),INDEX(Workers!$E$3:$E$51,MATCH(A151,Workers!$A$3:$A$51,0))),"Invalid Worker ID"))</f>
        <v/>
      </c>
      <c r="G151">
        <f>IF(OR(A151="",E151="Invalid Worker ID"),"",E151-F151)</f>
        <v/>
      </c>
      <c r="H151">
        <f>IF(A151="","",IFERROR(INDEX(Workers!$F$3:$F$51,MATCH(A151,Workers!$A$3:$A$51,0)),"Invalid Worker ID"))</f>
        <v/>
      </c>
      <c r="K151">
        <f>A151&amp;"|"&amp;C151</f>
        <v/>
      </c>
    </row>
    <row r="152">
      <c r="B152">
        <f>IF(A152="","",IFERROR(INDEX(Workers!$B$3:$B$51,MATCH(A152,Workers!$A$3:$A$51,0)),"Invalid Worker ID"))</f>
        <v/>
      </c>
      <c r="C152" s="15" t="n"/>
      <c r="E152">
        <f>IF(A152="","",IFERROR(IF(INDEX(Workers!$D$3:$D$51,MATCH(A152,Workers!$A$3:$A$51,0))="Per Day",D152*INDEX(Workers!$E$3:$E$51,MATCH(A152,Workers!$A$3:$A$51,0)),INDEX(Workers!$E$3:$E$51,MATCH(A152,Workers!$A$3:$A$51,0))),"Invalid Worker ID"))</f>
        <v/>
      </c>
      <c r="G152">
        <f>IF(OR(A152="",E152="Invalid Worker ID"),"",E152-F152)</f>
        <v/>
      </c>
      <c r="H152">
        <f>IF(A152="","",IFERROR(INDEX(Workers!$F$3:$F$51,MATCH(A152,Workers!$A$3:$A$51,0)),"Invalid Worker ID"))</f>
        <v/>
      </c>
      <c r="K152">
        <f>A152&amp;"|"&amp;C152</f>
        <v/>
      </c>
    </row>
    <row r="153">
      <c r="B153">
        <f>IF(A153="","",IFERROR(INDEX(Workers!$B$3:$B$51,MATCH(A153,Workers!$A$3:$A$51,0)),"Invalid Worker ID"))</f>
        <v/>
      </c>
      <c r="C153" s="15" t="n"/>
      <c r="E153">
        <f>IF(A153="","",IFERROR(IF(INDEX(Workers!$D$3:$D$51,MATCH(A153,Workers!$A$3:$A$51,0))="Per Day",D153*INDEX(Workers!$E$3:$E$51,MATCH(A153,Workers!$A$3:$A$51,0)),INDEX(Workers!$E$3:$E$51,MATCH(A153,Workers!$A$3:$A$51,0))),"Invalid Worker ID"))</f>
        <v/>
      </c>
      <c r="G153">
        <f>IF(OR(A153="",E153="Invalid Worker ID"),"",E153-F153)</f>
        <v/>
      </c>
      <c r="H153">
        <f>IF(A153="","",IFERROR(INDEX(Workers!$F$3:$F$51,MATCH(A153,Workers!$A$3:$A$51,0)),"Invalid Worker ID"))</f>
        <v/>
      </c>
      <c r="K153">
        <f>A153&amp;"|"&amp;C153</f>
        <v/>
      </c>
    </row>
    <row r="154">
      <c r="B154">
        <f>IF(A154="","",IFERROR(INDEX(Workers!$B$3:$B$51,MATCH(A154,Workers!$A$3:$A$51,0)),"Invalid Worker ID"))</f>
        <v/>
      </c>
      <c r="C154" s="15" t="n"/>
      <c r="E154">
        <f>IF(A154="","",IFERROR(IF(INDEX(Workers!$D$3:$D$51,MATCH(A154,Workers!$A$3:$A$51,0))="Per Day",D154*INDEX(Workers!$E$3:$E$51,MATCH(A154,Workers!$A$3:$A$51,0)),INDEX(Workers!$E$3:$E$51,MATCH(A154,Workers!$A$3:$A$51,0))),"Invalid Worker ID"))</f>
        <v/>
      </c>
      <c r="G154">
        <f>IF(OR(A154="",E154="Invalid Worker ID"),"",E154-F154)</f>
        <v/>
      </c>
      <c r="H154">
        <f>IF(A154="","",IFERROR(INDEX(Workers!$F$3:$F$51,MATCH(A154,Workers!$A$3:$A$51,0)),"Invalid Worker ID"))</f>
        <v/>
      </c>
      <c r="K154">
        <f>A154&amp;"|"&amp;C154</f>
        <v/>
      </c>
    </row>
    <row r="155">
      <c r="B155">
        <f>IF(A155="","",IFERROR(INDEX(Workers!$B$3:$B$51,MATCH(A155,Workers!$A$3:$A$51,0)),"Invalid Worker ID"))</f>
        <v/>
      </c>
      <c r="C155" s="15" t="n"/>
      <c r="E155">
        <f>IF(A155="","",IFERROR(IF(INDEX(Workers!$D$3:$D$51,MATCH(A155,Workers!$A$3:$A$51,0))="Per Day",D155*INDEX(Workers!$E$3:$E$51,MATCH(A155,Workers!$A$3:$A$51,0)),INDEX(Workers!$E$3:$E$51,MATCH(A155,Workers!$A$3:$A$51,0))),"Invalid Worker ID"))</f>
        <v/>
      </c>
      <c r="G155">
        <f>IF(OR(A155="",E155="Invalid Worker ID"),"",E155-F155)</f>
        <v/>
      </c>
      <c r="H155">
        <f>IF(A155="","",IFERROR(INDEX(Workers!$F$3:$F$51,MATCH(A155,Workers!$A$3:$A$51,0)),"Invalid Worker ID"))</f>
        <v/>
      </c>
      <c r="K155">
        <f>A155&amp;"|"&amp;C155</f>
        <v/>
      </c>
    </row>
    <row r="156">
      <c r="B156">
        <f>IF(A156="","",IFERROR(INDEX(Workers!$B$3:$B$51,MATCH(A156,Workers!$A$3:$A$51,0)),"Invalid Worker ID"))</f>
        <v/>
      </c>
      <c r="C156" s="15" t="n"/>
      <c r="E156">
        <f>IF(A156="","",IFERROR(IF(INDEX(Workers!$D$3:$D$51,MATCH(A156,Workers!$A$3:$A$51,0))="Per Day",D156*INDEX(Workers!$E$3:$E$51,MATCH(A156,Workers!$A$3:$A$51,0)),INDEX(Workers!$E$3:$E$51,MATCH(A156,Workers!$A$3:$A$51,0))),"Invalid Worker ID"))</f>
        <v/>
      </c>
      <c r="G156">
        <f>IF(OR(A156="",E156="Invalid Worker ID"),"",E156-F156)</f>
        <v/>
      </c>
      <c r="H156">
        <f>IF(A156="","",IFERROR(INDEX(Workers!$F$3:$F$51,MATCH(A156,Workers!$A$3:$A$51,0)),"Invalid Worker ID"))</f>
        <v/>
      </c>
      <c r="K156">
        <f>A156&amp;"|"&amp;C156</f>
        <v/>
      </c>
    </row>
    <row r="157">
      <c r="B157">
        <f>IF(A157="","",IFERROR(INDEX(Workers!$B$3:$B$51,MATCH(A157,Workers!$A$3:$A$51,0)),"Invalid Worker ID"))</f>
        <v/>
      </c>
      <c r="C157" s="15" t="n"/>
      <c r="E157">
        <f>IF(A157="","",IFERROR(IF(INDEX(Workers!$D$3:$D$51,MATCH(A157,Workers!$A$3:$A$51,0))="Per Day",D157*INDEX(Workers!$E$3:$E$51,MATCH(A157,Workers!$A$3:$A$51,0)),INDEX(Workers!$E$3:$E$51,MATCH(A157,Workers!$A$3:$A$51,0))),"Invalid Worker ID"))</f>
        <v/>
      </c>
      <c r="G157">
        <f>IF(OR(A157="",E157="Invalid Worker ID"),"",E157-F157)</f>
        <v/>
      </c>
      <c r="H157">
        <f>IF(A157="","",IFERROR(INDEX(Workers!$F$3:$F$51,MATCH(A157,Workers!$A$3:$A$51,0)),"Invalid Worker ID"))</f>
        <v/>
      </c>
      <c r="K157">
        <f>A157&amp;"|"&amp;C157</f>
        <v/>
      </c>
    </row>
    <row r="158">
      <c r="B158">
        <f>IF(A158="","",IFERROR(INDEX(Workers!$B$3:$B$51,MATCH(A158,Workers!$A$3:$A$51,0)),"Invalid Worker ID"))</f>
        <v/>
      </c>
      <c r="C158" s="15" t="n"/>
      <c r="E158">
        <f>IF(A158="","",IFERROR(IF(INDEX(Workers!$D$3:$D$51,MATCH(A158,Workers!$A$3:$A$51,0))="Per Day",D158*INDEX(Workers!$E$3:$E$51,MATCH(A158,Workers!$A$3:$A$51,0)),INDEX(Workers!$E$3:$E$51,MATCH(A158,Workers!$A$3:$A$51,0))),"Invalid Worker ID"))</f>
        <v/>
      </c>
      <c r="G158">
        <f>IF(OR(A158="",E158="Invalid Worker ID"),"",E158-F158)</f>
        <v/>
      </c>
      <c r="H158">
        <f>IF(A158="","",IFERROR(INDEX(Workers!$F$3:$F$51,MATCH(A158,Workers!$A$3:$A$51,0)),"Invalid Worker ID"))</f>
        <v/>
      </c>
      <c r="K158">
        <f>A158&amp;"|"&amp;C158</f>
        <v/>
      </c>
    </row>
    <row r="159">
      <c r="B159">
        <f>IF(A159="","",IFERROR(INDEX(Workers!$B$3:$B$51,MATCH(A159,Workers!$A$3:$A$51,0)),"Invalid Worker ID"))</f>
        <v/>
      </c>
      <c r="C159" s="15" t="n"/>
      <c r="E159">
        <f>IF(A159="","",IFERROR(IF(INDEX(Workers!$D$3:$D$51,MATCH(A159,Workers!$A$3:$A$51,0))="Per Day",D159*INDEX(Workers!$E$3:$E$51,MATCH(A159,Workers!$A$3:$A$51,0)),INDEX(Workers!$E$3:$E$51,MATCH(A159,Workers!$A$3:$A$51,0))),"Invalid Worker ID"))</f>
        <v/>
      </c>
      <c r="G159">
        <f>IF(OR(A159="",E159="Invalid Worker ID"),"",E159-F159)</f>
        <v/>
      </c>
      <c r="H159">
        <f>IF(A159="","",IFERROR(INDEX(Workers!$F$3:$F$51,MATCH(A159,Workers!$A$3:$A$51,0)),"Invalid Worker ID"))</f>
        <v/>
      </c>
      <c r="K159">
        <f>A159&amp;"|"&amp;C159</f>
        <v/>
      </c>
    </row>
    <row r="160">
      <c r="B160">
        <f>IF(A160="","",IFERROR(INDEX(Workers!$B$3:$B$51,MATCH(A160,Workers!$A$3:$A$51,0)),"Invalid Worker ID"))</f>
        <v/>
      </c>
      <c r="C160" s="15" t="n"/>
      <c r="E160">
        <f>IF(A160="","",IFERROR(IF(INDEX(Workers!$D$3:$D$51,MATCH(A160,Workers!$A$3:$A$51,0))="Per Day",D160*INDEX(Workers!$E$3:$E$51,MATCH(A160,Workers!$A$3:$A$51,0)),INDEX(Workers!$E$3:$E$51,MATCH(A160,Workers!$A$3:$A$51,0))),"Invalid Worker ID"))</f>
        <v/>
      </c>
      <c r="G160">
        <f>IF(OR(A160="",E160="Invalid Worker ID"),"",E160-F160)</f>
        <v/>
      </c>
      <c r="H160">
        <f>IF(A160="","",IFERROR(INDEX(Workers!$F$3:$F$51,MATCH(A160,Workers!$A$3:$A$51,0)),"Invalid Worker ID"))</f>
        <v/>
      </c>
      <c r="K160">
        <f>A160&amp;"|"&amp;C160</f>
        <v/>
      </c>
    </row>
    <row r="161">
      <c r="B161">
        <f>IF(A161="","",IFERROR(INDEX(Workers!$B$3:$B$51,MATCH(A161,Workers!$A$3:$A$51,0)),"Invalid Worker ID"))</f>
        <v/>
      </c>
      <c r="C161" s="15" t="n"/>
      <c r="E161">
        <f>IF(A161="","",IFERROR(IF(INDEX(Workers!$D$3:$D$51,MATCH(A161,Workers!$A$3:$A$51,0))="Per Day",D161*INDEX(Workers!$E$3:$E$51,MATCH(A161,Workers!$A$3:$A$51,0)),INDEX(Workers!$E$3:$E$51,MATCH(A161,Workers!$A$3:$A$51,0))),"Invalid Worker ID"))</f>
        <v/>
      </c>
      <c r="G161">
        <f>IF(OR(A161="",E161="Invalid Worker ID"),"",E161-F161)</f>
        <v/>
      </c>
      <c r="H161">
        <f>IF(A161="","",IFERROR(INDEX(Workers!$F$3:$F$51,MATCH(A161,Workers!$A$3:$A$51,0)),"Invalid Worker ID"))</f>
        <v/>
      </c>
      <c r="K161">
        <f>A161&amp;"|"&amp;C161</f>
        <v/>
      </c>
    </row>
    <row r="162">
      <c r="B162">
        <f>IF(A162="","",IFERROR(INDEX(Workers!$B$3:$B$51,MATCH(A162,Workers!$A$3:$A$51,0)),"Invalid Worker ID"))</f>
        <v/>
      </c>
      <c r="C162" s="15" t="n"/>
      <c r="E162">
        <f>IF(A162="","",IFERROR(IF(INDEX(Workers!$D$3:$D$51,MATCH(A162,Workers!$A$3:$A$51,0))="Per Day",D162*INDEX(Workers!$E$3:$E$51,MATCH(A162,Workers!$A$3:$A$51,0)),INDEX(Workers!$E$3:$E$51,MATCH(A162,Workers!$A$3:$A$51,0))),"Invalid Worker ID"))</f>
        <v/>
      </c>
      <c r="G162">
        <f>IF(OR(A162="",E162="Invalid Worker ID"),"",E162-F162)</f>
        <v/>
      </c>
      <c r="H162">
        <f>IF(A162="","",IFERROR(INDEX(Workers!$F$3:$F$51,MATCH(A162,Workers!$A$3:$A$51,0)),"Invalid Worker ID"))</f>
        <v/>
      </c>
      <c r="K162">
        <f>A162&amp;"|"&amp;C162</f>
        <v/>
      </c>
    </row>
    <row r="163">
      <c r="B163">
        <f>IF(A163="","",IFERROR(INDEX(Workers!$B$3:$B$51,MATCH(A163,Workers!$A$3:$A$51,0)),"Invalid Worker ID"))</f>
        <v/>
      </c>
      <c r="C163" s="15" t="n"/>
      <c r="E163">
        <f>IF(A163="","",IFERROR(IF(INDEX(Workers!$D$3:$D$51,MATCH(A163,Workers!$A$3:$A$51,0))="Per Day",D163*INDEX(Workers!$E$3:$E$51,MATCH(A163,Workers!$A$3:$A$51,0)),INDEX(Workers!$E$3:$E$51,MATCH(A163,Workers!$A$3:$A$51,0))),"Invalid Worker ID"))</f>
        <v/>
      </c>
      <c r="G163">
        <f>IF(OR(A163="",E163="Invalid Worker ID"),"",E163-F163)</f>
        <v/>
      </c>
      <c r="H163">
        <f>IF(A163="","",IFERROR(INDEX(Workers!$F$3:$F$51,MATCH(A163,Workers!$A$3:$A$51,0)),"Invalid Worker ID"))</f>
        <v/>
      </c>
      <c r="K163">
        <f>A163&amp;"|"&amp;C163</f>
        <v/>
      </c>
    </row>
    <row r="164">
      <c r="B164">
        <f>IF(A164="","",IFERROR(INDEX(Workers!$B$3:$B$51,MATCH(A164,Workers!$A$3:$A$51,0)),"Invalid Worker ID"))</f>
        <v/>
      </c>
      <c r="C164" s="15" t="n"/>
      <c r="E164">
        <f>IF(A164="","",IFERROR(IF(INDEX(Workers!$D$3:$D$51,MATCH(A164,Workers!$A$3:$A$51,0))="Per Day",D164*INDEX(Workers!$E$3:$E$51,MATCH(A164,Workers!$A$3:$A$51,0)),INDEX(Workers!$E$3:$E$51,MATCH(A164,Workers!$A$3:$A$51,0))),"Invalid Worker ID"))</f>
        <v/>
      </c>
      <c r="G164">
        <f>IF(OR(A164="",E164="Invalid Worker ID"),"",E164-F164)</f>
        <v/>
      </c>
      <c r="H164">
        <f>IF(A164="","",IFERROR(INDEX(Workers!$F$3:$F$51,MATCH(A164,Workers!$A$3:$A$51,0)),"Invalid Worker ID"))</f>
        <v/>
      </c>
      <c r="K164">
        <f>A164&amp;"|"&amp;C164</f>
        <v/>
      </c>
    </row>
    <row r="165">
      <c r="B165">
        <f>IF(A165="","",IFERROR(INDEX(Workers!$B$3:$B$51,MATCH(A165,Workers!$A$3:$A$51,0)),"Invalid Worker ID"))</f>
        <v/>
      </c>
      <c r="C165" s="15" t="n"/>
      <c r="E165">
        <f>IF(A165="","",IFERROR(IF(INDEX(Workers!$D$3:$D$51,MATCH(A165,Workers!$A$3:$A$51,0))="Per Day",D165*INDEX(Workers!$E$3:$E$51,MATCH(A165,Workers!$A$3:$A$51,0)),INDEX(Workers!$E$3:$E$51,MATCH(A165,Workers!$A$3:$A$51,0))),"Invalid Worker ID"))</f>
        <v/>
      </c>
      <c r="G165">
        <f>IF(OR(A165="",E165="Invalid Worker ID"),"",E165-F165)</f>
        <v/>
      </c>
      <c r="H165">
        <f>IF(A165="","",IFERROR(INDEX(Workers!$F$3:$F$51,MATCH(A165,Workers!$A$3:$A$51,0)),"Invalid Worker ID"))</f>
        <v/>
      </c>
      <c r="K165">
        <f>A165&amp;"|"&amp;C165</f>
        <v/>
      </c>
    </row>
    <row r="166">
      <c r="B166">
        <f>IF(A166="","",IFERROR(INDEX(Workers!$B$3:$B$51,MATCH(A166,Workers!$A$3:$A$51,0)),"Invalid Worker ID"))</f>
        <v/>
      </c>
      <c r="C166" s="15" t="n"/>
      <c r="E166">
        <f>IF(A166="","",IFERROR(IF(INDEX(Workers!$D$3:$D$51,MATCH(A166,Workers!$A$3:$A$51,0))="Per Day",D166*INDEX(Workers!$E$3:$E$51,MATCH(A166,Workers!$A$3:$A$51,0)),INDEX(Workers!$E$3:$E$51,MATCH(A166,Workers!$A$3:$A$51,0))),"Invalid Worker ID"))</f>
        <v/>
      </c>
      <c r="G166">
        <f>IF(OR(A166="",E166="Invalid Worker ID"),"",E166-F166)</f>
        <v/>
      </c>
      <c r="H166">
        <f>IF(A166="","",IFERROR(INDEX(Workers!$F$3:$F$51,MATCH(A166,Workers!$A$3:$A$51,0)),"Invalid Worker ID"))</f>
        <v/>
      </c>
      <c r="K166">
        <f>A166&amp;"|"&amp;C166</f>
        <v/>
      </c>
    </row>
    <row r="167">
      <c r="B167">
        <f>IF(A167="","",IFERROR(INDEX(Workers!$B$3:$B$51,MATCH(A167,Workers!$A$3:$A$51,0)),"Invalid Worker ID"))</f>
        <v/>
      </c>
      <c r="C167" s="15" t="n"/>
      <c r="E167">
        <f>IF(A167="","",IFERROR(IF(INDEX(Workers!$D$3:$D$51,MATCH(A167,Workers!$A$3:$A$51,0))="Per Day",D167*INDEX(Workers!$E$3:$E$51,MATCH(A167,Workers!$A$3:$A$51,0)),INDEX(Workers!$E$3:$E$51,MATCH(A167,Workers!$A$3:$A$51,0))),"Invalid Worker ID"))</f>
        <v/>
      </c>
      <c r="G167">
        <f>IF(OR(A167="",E167="Invalid Worker ID"),"",E167-F167)</f>
        <v/>
      </c>
      <c r="H167">
        <f>IF(A167="","",IFERROR(INDEX(Workers!$F$3:$F$51,MATCH(A167,Workers!$A$3:$A$51,0)),"Invalid Worker ID"))</f>
        <v/>
      </c>
      <c r="K167">
        <f>A167&amp;"|"&amp;C167</f>
        <v/>
      </c>
    </row>
    <row r="168">
      <c r="B168">
        <f>IF(A168="","",IFERROR(INDEX(Workers!$B$3:$B$51,MATCH(A168,Workers!$A$3:$A$51,0)),"Invalid Worker ID"))</f>
        <v/>
      </c>
      <c r="C168" s="15" t="n"/>
      <c r="E168">
        <f>IF(A168="","",IFERROR(IF(INDEX(Workers!$D$3:$D$51,MATCH(A168,Workers!$A$3:$A$51,0))="Per Day",D168*INDEX(Workers!$E$3:$E$51,MATCH(A168,Workers!$A$3:$A$51,0)),INDEX(Workers!$E$3:$E$51,MATCH(A168,Workers!$A$3:$A$51,0))),"Invalid Worker ID"))</f>
        <v/>
      </c>
      <c r="G168">
        <f>IF(OR(A168="",E168="Invalid Worker ID"),"",E168-F168)</f>
        <v/>
      </c>
      <c r="H168">
        <f>IF(A168="","",IFERROR(INDEX(Workers!$F$3:$F$51,MATCH(A168,Workers!$A$3:$A$51,0)),"Invalid Worker ID"))</f>
        <v/>
      </c>
      <c r="K168">
        <f>A168&amp;"|"&amp;C168</f>
        <v/>
      </c>
    </row>
    <row r="169">
      <c r="B169">
        <f>IF(A169="","",IFERROR(INDEX(Workers!$B$3:$B$51,MATCH(A169,Workers!$A$3:$A$51,0)),"Invalid Worker ID"))</f>
        <v/>
      </c>
      <c r="C169" s="15" t="n"/>
      <c r="E169">
        <f>IF(A169="","",IFERROR(IF(INDEX(Workers!$D$3:$D$51,MATCH(A169,Workers!$A$3:$A$51,0))="Per Day",D169*INDEX(Workers!$E$3:$E$51,MATCH(A169,Workers!$A$3:$A$51,0)),INDEX(Workers!$E$3:$E$51,MATCH(A169,Workers!$A$3:$A$51,0))),"Invalid Worker ID"))</f>
        <v/>
      </c>
      <c r="G169">
        <f>IF(OR(A169="",E169="Invalid Worker ID"),"",E169-F169)</f>
        <v/>
      </c>
      <c r="H169">
        <f>IF(A169="","",IFERROR(INDEX(Workers!$F$3:$F$51,MATCH(A169,Workers!$A$3:$A$51,0)),"Invalid Worker ID"))</f>
        <v/>
      </c>
      <c r="K169">
        <f>A169&amp;"|"&amp;C169</f>
        <v/>
      </c>
    </row>
    <row r="170">
      <c r="B170">
        <f>IF(A170="","",IFERROR(INDEX(Workers!$B$3:$B$51,MATCH(A170,Workers!$A$3:$A$51,0)),"Invalid Worker ID"))</f>
        <v/>
      </c>
      <c r="C170" s="15" t="n"/>
      <c r="E170">
        <f>IF(A170="","",IFERROR(IF(INDEX(Workers!$D$3:$D$51,MATCH(A170,Workers!$A$3:$A$51,0))="Per Day",D170*INDEX(Workers!$E$3:$E$51,MATCH(A170,Workers!$A$3:$A$51,0)),INDEX(Workers!$E$3:$E$51,MATCH(A170,Workers!$A$3:$A$51,0))),"Invalid Worker ID"))</f>
        <v/>
      </c>
      <c r="G170">
        <f>IF(OR(A170="",E170="Invalid Worker ID"),"",E170-F170)</f>
        <v/>
      </c>
      <c r="H170">
        <f>IF(A170="","",IFERROR(INDEX(Workers!$F$3:$F$51,MATCH(A170,Workers!$A$3:$A$51,0)),"Invalid Worker ID"))</f>
        <v/>
      </c>
      <c r="K170">
        <f>A170&amp;"|"&amp;C170</f>
        <v/>
      </c>
    </row>
    <row r="171">
      <c r="B171">
        <f>IF(A171="","",IFERROR(INDEX(Workers!$B$3:$B$51,MATCH(A171,Workers!$A$3:$A$51,0)),"Invalid Worker ID"))</f>
        <v/>
      </c>
      <c r="C171" s="15" t="n"/>
      <c r="E171">
        <f>IF(A171="","",IFERROR(IF(INDEX(Workers!$D$3:$D$51,MATCH(A171,Workers!$A$3:$A$51,0))="Per Day",D171*INDEX(Workers!$E$3:$E$51,MATCH(A171,Workers!$A$3:$A$51,0)),INDEX(Workers!$E$3:$E$51,MATCH(A171,Workers!$A$3:$A$51,0))),"Invalid Worker ID"))</f>
        <v/>
      </c>
      <c r="G171">
        <f>IF(OR(A171="",E171="Invalid Worker ID"),"",E171-F171)</f>
        <v/>
      </c>
      <c r="H171">
        <f>IF(A171="","",IFERROR(INDEX(Workers!$F$3:$F$51,MATCH(A171,Workers!$A$3:$A$51,0)),"Invalid Worker ID"))</f>
        <v/>
      </c>
      <c r="K171">
        <f>A171&amp;"|"&amp;C171</f>
        <v/>
      </c>
    </row>
    <row r="172">
      <c r="B172">
        <f>IF(A172="","",IFERROR(INDEX(Workers!$B$3:$B$51,MATCH(A172,Workers!$A$3:$A$51,0)),"Invalid Worker ID"))</f>
        <v/>
      </c>
      <c r="C172" s="15" t="n"/>
      <c r="E172">
        <f>IF(A172="","",IFERROR(IF(INDEX(Workers!$D$3:$D$51,MATCH(A172,Workers!$A$3:$A$51,0))="Per Day",D172*INDEX(Workers!$E$3:$E$51,MATCH(A172,Workers!$A$3:$A$51,0)),INDEX(Workers!$E$3:$E$51,MATCH(A172,Workers!$A$3:$A$51,0))),"Invalid Worker ID"))</f>
        <v/>
      </c>
      <c r="G172">
        <f>IF(OR(A172="",E172="Invalid Worker ID"),"",E172-F172)</f>
        <v/>
      </c>
      <c r="H172">
        <f>IF(A172="","",IFERROR(INDEX(Workers!$F$3:$F$51,MATCH(A172,Workers!$A$3:$A$51,0)),"Invalid Worker ID"))</f>
        <v/>
      </c>
      <c r="K172">
        <f>A172&amp;"|"&amp;C172</f>
        <v/>
      </c>
    </row>
    <row r="173">
      <c r="B173">
        <f>IF(A173="","",IFERROR(INDEX(Workers!$B$3:$B$51,MATCH(A173,Workers!$A$3:$A$51,0)),"Invalid Worker ID"))</f>
        <v/>
      </c>
      <c r="C173" s="15" t="n"/>
      <c r="E173">
        <f>IF(A173="","",IFERROR(IF(INDEX(Workers!$D$3:$D$51,MATCH(A173,Workers!$A$3:$A$51,0))="Per Day",D173*INDEX(Workers!$E$3:$E$51,MATCH(A173,Workers!$A$3:$A$51,0)),INDEX(Workers!$E$3:$E$51,MATCH(A173,Workers!$A$3:$A$51,0))),"Invalid Worker ID"))</f>
        <v/>
      </c>
      <c r="G173">
        <f>IF(OR(A173="",E173="Invalid Worker ID"),"",E173-F173)</f>
        <v/>
      </c>
      <c r="H173">
        <f>IF(A173="","",IFERROR(INDEX(Workers!$F$3:$F$51,MATCH(A173,Workers!$A$3:$A$51,0)),"Invalid Worker ID"))</f>
        <v/>
      </c>
      <c r="K173">
        <f>A173&amp;"|"&amp;C173</f>
        <v/>
      </c>
    </row>
    <row r="174">
      <c r="B174">
        <f>IF(A174="","",IFERROR(INDEX(Workers!$B$3:$B$51,MATCH(A174,Workers!$A$3:$A$51,0)),"Invalid Worker ID"))</f>
        <v/>
      </c>
      <c r="C174" s="15" t="n"/>
      <c r="E174">
        <f>IF(A174="","",IFERROR(IF(INDEX(Workers!$D$3:$D$51,MATCH(A174,Workers!$A$3:$A$51,0))="Per Day",D174*INDEX(Workers!$E$3:$E$51,MATCH(A174,Workers!$A$3:$A$51,0)),INDEX(Workers!$E$3:$E$51,MATCH(A174,Workers!$A$3:$A$51,0))),"Invalid Worker ID"))</f>
        <v/>
      </c>
      <c r="G174">
        <f>IF(OR(A174="",E174="Invalid Worker ID"),"",E174-F174)</f>
        <v/>
      </c>
      <c r="H174">
        <f>IF(A174="","",IFERROR(INDEX(Workers!$F$3:$F$51,MATCH(A174,Workers!$A$3:$A$51,0)),"Invalid Worker ID"))</f>
        <v/>
      </c>
      <c r="K174">
        <f>A174&amp;"|"&amp;C174</f>
        <v/>
      </c>
    </row>
    <row r="175">
      <c r="B175">
        <f>IF(A175="","",IFERROR(INDEX(Workers!$B$3:$B$51,MATCH(A175,Workers!$A$3:$A$51,0)),"Invalid Worker ID"))</f>
        <v/>
      </c>
      <c r="C175" s="15" t="n"/>
      <c r="E175">
        <f>IF(A175="","",IFERROR(IF(INDEX(Workers!$D$3:$D$51,MATCH(A175,Workers!$A$3:$A$51,0))="Per Day",D175*INDEX(Workers!$E$3:$E$51,MATCH(A175,Workers!$A$3:$A$51,0)),INDEX(Workers!$E$3:$E$51,MATCH(A175,Workers!$A$3:$A$51,0))),"Invalid Worker ID"))</f>
        <v/>
      </c>
      <c r="G175">
        <f>IF(OR(A175="",E175="Invalid Worker ID"),"",E175-F175)</f>
        <v/>
      </c>
      <c r="H175">
        <f>IF(A175="","",IFERROR(INDEX(Workers!$F$3:$F$51,MATCH(A175,Workers!$A$3:$A$51,0)),"Invalid Worker ID"))</f>
        <v/>
      </c>
      <c r="K175">
        <f>A175&amp;"|"&amp;C175</f>
        <v/>
      </c>
    </row>
    <row r="176">
      <c r="B176">
        <f>IF(A176="","",IFERROR(INDEX(Workers!$B$3:$B$51,MATCH(A176,Workers!$A$3:$A$51,0)),"Invalid Worker ID"))</f>
        <v/>
      </c>
      <c r="C176" s="15" t="n"/>
      <c r="E176">
        <f>IF(A176="","",IFERROR(IF(INDEX(Workers!$D$3:$D$51,MATCH(A176,Workers!$A$3:$A$51,0))="Per Day",D176*INDEX(Workers!$E$3:$E$51,MATCH(A176,Workers!$A$3:$A$51,0)),INDEX(Workers!$E$3:$E$51,MATCH(A176,Workers!$A$3:$A$51,0))),"Invalid Worker ID"))</f>
        <v/>
      </c>
      <c r="G176">
        <f>IF(OR(A176="",E176="Invalid Worker ID"),"",E176-F176)</f>
        <v/>
      </c>
      <c r="H176">
        <f>IF(A176="","",IFERROR(INDEX(Workers!$F$3:$F$51,MATCH(A176,Workers!$A$3:$A$51,0)),"Invalid Worker ID"))</f>
        <v/>
      </c>
      <c r="K176">
        <f>A176&amp;"|"&amp;C176</f>
        <v/>
      </c>
    </row>
    <row r="177">
      <c r="B177">
        <f>IF(A177="","",IFERROR(INDEX(Workers!$B$3:$B$51,MATCH(A177,Workers!$A$3:$A$51,0)),"Invalid Worker ID"))</f>
        <v/>
      </c>
      <c r="C177" s="15" t="n"/>
      <c r="E177">
        <f>IF(A177="","",IFERROR(IF(INDEX(Workers!$D$3:$D$51,MATCH(A177,Workers!$A$3:$A$51,0))="Per Day",D177*INDEX(Workers!$E$3:$E$51,MATCH(A177,Workers!$A$3:$A$51,0)),INDEX(Workers!$E$3:$E$51,MATCH(A177,Workers!$A$3:$A$51,0))),"Invalid Worker ID"))</f>
        <v/>
      </c>
      <c r="G177">
        <f>IF(OR(A177="",E177="Invalid Worker ID"),"",E177-F177)</f>
        <v/>
      </c>
      <c r="H177">
        <f>IF(A177="","",IFERROR(INDEX(Workers!$F$3:$F$51,MATCH(A177,Workers!$A$3:$A$51,0)),"Invalid Worker ID"))</f>
        <v/>
      </c>
      <c r="K177">
        <f>A177&amp;"|"&amp;C177</f>
        <v/>
      </c>
    </row>
    <row r="178">
      <c r="B178">
        <f>IF(A178="","",IFERROR(INDEX(Workers!$B$3:$B$51,MATCH(A178,Workers!$A$3:$A$51,0)),"Invalid Worker ID"))</f>
        <v/>
      </c>
      <c r="C178" s="15" t="n"/>
      <c r="E178">
        <f>IF(A178="","",IFERROR(IF(INDEX(Workers!$D$3:$D$51,MATCH(A178,Workers!$A$3:$A$51,0))="Per Day",D178*INDEX(Workers!$E$3:$E$51,MATCH(A178,Workers!$A$3:$A$51,0)),INDEX(Workers!$E$3:$E$51,MATCH(A178,Workers!$A$3:$A$51,0))),"Invalid Worker ID"))</f>
        <v/>
      </c>
      <c r="G178">
        <f>IF(OR(A178="",E178="Invalid Worker ID"),"",E178-F178)</f>
        <v/>
      </c>
      <c r="H178">
        <f>IF(A178="","",IFERROR(INDEX(Workers!$F$3:$F$51,MATCH(A178,Workers!$A$3:$A$51,0)),"Invalid Worker ID"))</f>
        <v/>
      </c>
      <c r="K178">
        <f>A178&amp;"|"&amp;C178</f>
        <v/>
      </c>
    </row>
    <row r="179">
      <c r="B179">
        <f>IF(A179="","",IFERROR(INDEX(Workers!$B$3:$B$51,MATCH(A179,Workers!$A$3:$A$51,0)),"Invalid Worker ID"))</f>
        <v/>
      </c>
      <c r="C179" s="15" t="n"/>
      <c r="E179">
        <f>IF(A179="","",IFERROR(IF(INDEX(Workers!$D$3:$D$51,MATCH(A179,Workers!$A$3:$A$51,0))="Per Day",D179*INDEX(Workers!$E$3:$E$51,MATCH(A179,Workers!$A$3:$A$51,0)),INDEX(Workers!$E$3:$E$51,MATCH(A179,Workers!$A$3:$A$51,0))),"Invalid Worker ID"))</f>
        <v/>
      </c>
      <c r="G179">
        <f>IF(OR(A179="",E179="Invalid Worker ID"),"",E179-F179)</f>
        <v/>
      </c>
      <c r="H179">
        <f>IF(A179="","",IFERROR(INDEX(Workers!$F$3:$F$51,MATCH(A179,Workers!$A$3:$A$51,0)),"Invalid Worker ID"))</f>
        <v/>
      </c>
      <c r="K179">
        <f>A179&amp;"|"&amp;C179</f>
        <v/>
      </c>
    </row>
    <row r="180">
      <c r="B180">
        <f>IF(A180="","",IFERROR(INDEX(Workers!$B$3:$B$51,MATCH(A180,Workers!$A$3:$A$51,0)),"Invalid Worker ID"))</f>
        <v/>
      </c>
      <c r="C180" s="15" t="n"/>
      <c r="E180">
        <f>IF(A180="","",IFERROR(IF(INDEX(Workers!$D$3:$D$51,MATCH(A180,Workers!$A$3:$A$51,0))="Per Day",D180*INDEX(Workers!$E$3:$E$51,MATCH(A180,Workers!$A$3:$A$51,0)),INDEX(Workers!$E$3:$E$51,MATCH(A180,Workers!$A$3:$A$51,0))),"Invalid Worker ID"))</f>
        <v/>
      </c>
      <c r="G180">
        <f>IF(OR(A180="",E180="Invalid Worker ID"),"",E180-F180)</f>
        <v/>
      </c>
      <c r="H180">
        <f>IF(A180="","",IFERROR(INDEX(Workers!$F$3:$F$51,MATCH(A180,Workers!$A$3:$A$51,0)),"Invalid Worker ID"))</f>
        <v/>
      </c>
      <c r="K180">
        <f>A180&amp;"|"&amp;C180</f>
        <v/>
      </c>
    </row>
    <row r="181">
      <c r="B181">
        <f>IF(A181="","",IFERROR(INDEX(Workers!$B$3:$B$51,MATCH(A181,Workers!$A$3:$A$51,0)),"Invalid Worker ID"))</f>
        <v/>
      </c>
      <c r="C181" s="15" t="n"/>
      <c r="E181">
        <f>IF(A181="","",IFERROR(IF(INDEX(Workers!$D$3:$D$51,MATCH(A181,Workers!$A$3:$A$51,0))="Per Day",D181*INDEX(Workers!$E$3:$E$51,MATCH(A181,Workers!$A$3:$A$51,0)),INDEX(Workers!$E$3:$E$51,MATCH(A181,Workers!$A$3:$A$51,0))),"Invalid Worker ID"))</f>
        <v/>
      </c>
      <c r="G181">
        <f>IF(OR(A181="",E181="Invalid Worker ID"),"",E181-F181)</f>
        <v/>
      </c>
      <c r="H181">
        <f>IF(A181="","",IFERROR(INDEX(Workers!$F$3:$F$51,MATCH(A181,Workers!$A$3:$A$51,0)),"Invalid Worker ID"))</f>
        <v/>
      </c>
      <c r="K181">
        <f>A181&amp;"|"&amp;C181</f>
        <v/>
      </c>
    </row>
    <row r="182">
      <c r="B182">
        <f>IF(A182="","",IFERROR(INDEX(Workers!$B$3:$B$51,MATCH(A182,Workers!$A$3:$A$51,0)),"Invalid Worker ID"))</f>
        <v/>
      </c>
      <c r="C182" s="15" t="n"/>
      <c r="E182">
        <f>IF(A182="","",IFERROR(IF(INDEX(Workers!$D$3:$D$51,MATCH(A182,Workers!$A$3:$A$51,0))="Per Day",D182*INDEX(Workers!$E$3:$E$51,MATCH(A182,Workers!$A$3:$A$51,0)),INDEX(Workers!$E$3:$E$51,MATCH(A182,Workers!$A$3:$A$51,0))),"Invalid Worker ID"))</f>
        <v/>
      </c>
      <c r="G182">
        <f>IF(OR(A182="",E182="Invalid Worker ID"),"",E182-F182)</f>
        <v/>
      </c>
      <c r="H182">
        <f>IF(A182="","",IFERROR(INDEX(Workers!$F$3:$F$51,MATCH(A182,Workers!$A$3:$A$51,0)),"Invalid Worker ID"))</f>
        <v/>
      </c>
      <c r="K182">
        <f>A182&amp;"|"&amp;C182</f>
        <v/>
      </c>
    </row>
    <row r="183">
      <c r="B183">
        <f>IF(A183="","",IFERROR(INDEX(Workers!$B$3:$B$51,MATCH(A183,Workers!$A$3:$A$51,0)),"Invalid Worker ID"))</f>
        <v/>
      </c>
      <c r="C183" s="15" t="n"/>
      <c r="E183">
        <f>IF(A183="","",IFERROR(IF(INDEX(Workers!$D$3:$D$51,MATCH(A183,Workers!$A$3:$A$51,0))="Per Day",D183*INDEX(Workers!$E$3:$E$51,MATCH(A183,Workers!$A$3:$A$51,0)),INDEX(Workers!$E$3:$E$51,MATCH(A183,Workers!$A$3:$A$51,0))),"Invalid Worker ID"))</f>
        <v/>
      </c>
      <c r="G183">
        <f>IF(OR(A183="",E183="Invalid Worker ID"),"",E183-F183)</f>
        <v/>
      </c>
      <c r="H183">
        <f>IF(A183="","",IFERROR(INDEX(Workers!$F$3:$F$51,MATCH(A183,Workers!$A$3:$A$51,0)),"Invalid Worker ID"))</f>
        <v/>
      </c>
      <c r="K183">
        <f>A183&amp;"|"&amp;C183</f>
        <v/>
      </c>
    </row>
    <row r="184">
      <c r="B184">
        <f>IF(A184="","",IFERROR(INDEX(Workers!$B$3:$B$51,MATCH(A184,Workers!$A$3:$A$51,0)),"Invalid Worker ID"))</f>
        <v/>
      </c>
      <c r="C184" s="15" t="n"/>
      <c r="E184">
        <f>IF(A184="","",IFERROR(IF(INDEX(Workers!$D$3:$D$51,MATCH(A184,Workers!$A$3:$A$51,0))="Per Day",D184*INDEX(Workers!$E$3:$E$51,MATCH(A184,Workers!$A$3:$A$51,0)),INDEX(Workers!$E$3:$E$51,MATCH(A184,Workers!$A$3:$A$51,0))),"Invalid Worker ID"))</f>
        <v/>
      </c>
      <c r="G184">
        <f>IF(OR(A184="",E184="Invalid Worker ID"),"",E184-F184)</f>
        <v/>
      </c>
      <c r="H184">
        <f>IF(A184="","",IFERROR(INDEX(Workers!$F$3:$F$51,MATCH(A184,Workers!$A$3:$A$51,0)),"Invalid Worker ID"))</f>
        <v/>
      </c>
      <c r="K184">
        <f>A184&amp;"|"&amp;C184</f>
        <v/>
      </c>
    </row>
    <row r="185">
      <c r="B185">
        <f>IF(A185="","",IFERROR(INDEX(Workers!$B$3:$B$51,MATCH(A185,Workers!$A$3:$A$51,0)),"Invalid Worker ID"))</f>
        <v/>
      </c>
      <c r="C185" s="15" t="n"/>
      <c r="E185">
        <f>IF(A185="","",IFERROR(IF(INDEX(Workers!$D$3:$D$51,MATCH(A185,Workers!$A$3:$A$51,0))="Per Day",D185*INDEX(Workers!$E$3:$E$51,MATCH(A185,Workers!$A$3:$A$51,0)),INDEX(Workers!$E$3:$E$51,MATCH(A185,Workers!$A$3:$A$51,0))),"Invalid Worker ID"))</f>
        <v/>
      </c>
      <c r="G185">
        <f>IF(OR(A185="",E185="Invalid Worker ID"),"",E185-F185)</f>
        <v/>
      </c>
      <c r="H185">
        <f>IF(A185="","",IFERROR(INDEX(Workers!$F$3:$F$51,MATCH(A185,Workers!$A$3:$A$51,0)),"Invalid Worker ID"))</f>
        <v/>
      </c>
      <c r="K185">
        <f>A185&amp;"|"&amp;C185</f>
        <v/>
      </c>
    </row>
    <row r="186">
      <c r="B186">
        <f>IF(A186="","",IFERROR(INDEX(Workers!$B$3:$B$51,MATCH(A186,Workers!$A$3:$A$51,0)),"Invalid Worker ID"))</f>
        <v/>
      </c>
      <c r="C186" s="15" t="n"/>
      <c r="E186">
        <f>IF(A186="","",IFERROR(IF(INDEX(Workers!$D$3:$D$51,MATCH(A186,Workers!$A$3:$A$51,0))="Per Day",D186*INDEX(Workers!$E$3:$E$51,MATCH(A186,Workers!$A$3:$A$51,0)),INDEX(Workers!$E$3:$E$51,MATCH(A186,Workers!$A$3:$A$51,0))),"Invalid Worker ID"))</f>
        <v/>
      </c>
      <c r="G186">
        <f>IF(OR(A186="",E186="Invalid Worker ID"),"",E186-F186)</f>
        <v/>
      </c>
      <c r="H186">
        <f>IF(A186="","",IFERROR(INDEX(Workers!$F$3:$F$51,MATCH(A186,Workers!$A$3:$A$51,0)),"Invalid Worker ID"))</f>
        <v/>
      </c>
      <c r="K186">
        <f>A186&amp;"|"&amp;C186</f>
        <v/>
      </c>
    </row>
    <row r="187">
      <c r="B187">
        <f>IF(A187="","",IFERROR(INDEX(Workers!$B$3:$B$51,MATCH(A187,Workers!$A$3:$A$51,0)),"Invalid Worker ID"))</f>
        <v/>
      </c>
      <c r="C187" s="15" t="n"/>
      <c r="E187">
        <f>IF(A187="","",IFERROR(IF(INDEX(Workers!$D$3:$D$51,MATCH(A187,Workers!$A$3:$A$51,0))="Per Day",D187*INDEX(Workers!$E$3:$E$51,MATCH(A187,Workers!$A$3:$A$51,0)),INDEX(Workers!$E$3:$E$51,MATCH(A187,Workers!$A$3:$A$51,0))),"Invalid Worker ID"))</f>
        <v/>
      </c>
      <c r="G187">
        <f>IF(OR(A187="",E187="Invalid Worker ID"),"",E187-F187)</f>
        <v/>
      </c>
      <c r="H187">
        <f>IF(A187="","",IFERROR(INDEX(Workers!$F$3:$F$51,MATCH(A187,Workers!$A$3:$A$51,0)),"Invalid Worker ID"))</f>
        <v/>
      </c>
      <c r="K187">
        <f>A187&amp;"|"&amp;C187</f>
        <v/>
      </c>
    </row>
    <row r="188">
      <c r="B188">
        <f>IF(A188="","",IFERROR(INDEX(Workers!$B$3:$B$51,MATCH(A188,Workers!$A$3:$A$51,0)),"Invalid Worker ID"))</f>
        <v/>
      </c>
      <c r="C188" s="15" t="n"/>
      <c r="E188">
        <f>IF(A188="","",IFERROR(IF(INDEX(Workers!$D$3:$D$51,MATCH(A188,Workers!$A$3:$A$51,0))="Per Day",D188*INDEX(Workers!$E$3:$E$51,MATCH(A188,Workers!$A$3:$A$51,0)),INDEX(Workers!$E$3:$E$51,MATCH(A188,Workers!$A$3:$A$51,0))),"Invalid Worker ID"))</f>
        <v/>
      </c>
      <c r="G188">
        <f>IF(OR(A188="",E188="Invalid Worker ID"),"",E188-F188)</f>
        <v/>
      </c>
      <c r="H188">
        <f>IF(A188="","",IFERROR(INDEX(Workers!$F$3:$F$51,MATCH(A188,Workers!$A$3:$A$51,0)),"Invalid Worker ID"))</f>
        <v/>
      </c>
      <c r="K188">
        <f>A188&amp;"|"&amp;C188</f>
        <v/>
      </c>
    </row>
    <row r="189">
      <c r="B189">
        <f>IF(A189="","",IFERROR(INDEX(Workers!$B$3:$B$51,MATCH(A189,Workers!$A$3:$A$51,0)),"Invalid Worker ID"))</f>
        <v/>
      </c>
      <c r="C189" s="15" t="n"/>
      <c r="E189">
        <f>IF(A189="","",IFERROR(IF(INDEX(Workers!$D$3:$D$51,MATCH(A189,Workers!$A$3:$A$51,0))="Per Day",D189*INDEX(Workers!$E$3:$E$51,MATCH(A189,Workers!$A$3:$A$51,0)),INDEX(Workers!$E$3:$E$51,MATCH(A189,Workers!$A$3:$A$51,0))),"Invalid Worker ID"))</f>
        <v/>
      </c>
      <c r="G189">
        <f>IF(OR(A189="",E189="Invalid Worker ID"),"",E189-F189)</f>
        <v/>
      </c>
      <c r="H189">
        <f>IF(A189="","",IFERROR(INDEX(Workers!$F$3:$F$51,MATCH(A189,Workers!$A$3:$A$51,0)),"Invalid Worker ID"))</f>
        <v/>
      </c>
      <c r="K189">
        <f>A189&amp;"|"&amp;C189</f>
        <v/>
      </c>
    </row>
    <row r="190">
      <c r="B190">
        <f>IF(A190="","",IFERROR(INDEX(Workers!$B$3:$B$51,MATCH(A190,Workers!$A$3:$A$51,0)),"Invalid Worker ID"))</f>
        <v/>
      </c>
      <c r="C190" s="15" t="n"/>
      <c r="E190">
        <f>IF(A190="","",IFERROR(IF(INDEX(Workers!$D$3:$D$51,MATCH(A190,Workers!$A$3:$A$51,0))="Per Day",D190*INDEX(Workers!$E$3:$E$51,MATCH(A190,Workers!$A$3:$A$51,0)),INDEX(Workers!$E$3:$E$51,MATCH(A190,Workers!$A$3:$A$51,0))),"Invalid Worker ID"))</f>
        <v/>
      </c>
      <c r="G190">
        <f>IF(OR(A190="",E190="Invalid Worker ID"),"",E190-F190)</f>
        <v/>
      </c>
      <c r="H190">
        <f>IF(A190="","",IFERROR(INDEX(Workers!$F$3:$F$51,MATCH(A190,Workers!$A$3:$A$51,0)),"Invalid Worker ID"))</f>
        <v/>
      </c>
      <c r="K190">
        <f>A190&amp;"|"&amp;C190</f>
        <v/>
      </c>
    </row>
    <row r="191">
      <c r="B191">
        <f>IF(A191="","",IFERROR(INDEX(Workers!$B$3:$B$51,MATCH(A191,Workers!$A$3:$A$51,0)),"Invalid Worker ID"))</f>
        <v/>
      </c>
      <c r="C191" s="15" t="n"/>
      <c r="E191">
        <f>IF(A191="","",IFERROR(IF(INDEX(Workers!$D$3:$D$51,MATCH(A191,Workers!$A$3:$A$51,0))="Per Day",D191*INDEX(Workers!$E$3:$E$51,MATCH(A191,Workers!$A$3:$A$51,0)),INDEX(Workers!$E$3:$E$51,MATCH(A191,Workers!$A$3:$A$51,0))),"Invalid Worker ID"))</f>
        <v/>
      </c>
      <c r="G191">
        <f>IF(OR(A191="",E191="Invalid Worker ID"),"",E191-F191)</f>
        <v/>
      </c>
      <c r="H191">
        <f>IF(A191="","",IFERROR(INDEX(Workers!$F$3:$F$51,MATCH(A191,Workers!$A$3:$A$51,0)),"Invalid Worker ID"))</f>
        <v/>
      </c>
      <c r="K191">
        <f>A191&amp;"|"&amp;C191</f>
        <v/>
      </c>
    </row>
    <row r="192">
      <c r="B192">
        <f>IF(A192="","",IFERROR(INDEX(Workers!$B$3:$B$51,MATCH(A192,Workers!$A$3:$A$51,0)),"Invalid Worker ID"))</f>
        <v/>
      </c>
      <c r="C192" s="15" t="n"/>
      <c r="E192">
        <f>IF(A192="","",IFERROR(IF(INDEX(Workers!$D$3:$D$51,MATCH(A192,Workers!$A$3:$A$51,0))="Per Day",D192*INDEX(Workers!$E$3:$E$51,MATCH(A192,Workers!$A$3:$A$51,0)),INDEX(Workers!$E$3:$E$51,MATCH(A192,Workers!$A$3:$A$51,0))),"Invalid Worker ID"))</f>
        <v/>
      </c>
      <c r="G192">
        <f>IF(OR(A192="",E192="Invalid Worker ID"),"",E192-F192)</f>
        <v/>
      </c>
      <c r="H192">
        <f>IF(A192="","",IFERROR(INDEX(Workers!$F$3:$F$51,MATCH(A192,Workers!$A$3:$A$51,0)),"Invalid Worker ID"))</f>
        <v/>
      </c>
      <c r="K192">
        <f>A192&amp;"|"&amp;C192</f>
        <v/>
      </c>
    </row>
    <row r="193">
      <c r="B193">
        <f>IF(A193="","",IFERROR(INDEX(Workers!$B$3:$B$51,MATCH(A193,Workers!$A$3:$A$51,0)),"Invalid Worker ID"))</f>
        <v/>
      </c>
      <c r="C193" s="15" t="n"/>
      <c r="E193">
        <f>IF(A193="","",IFERROR(IF(INDEX(Workers!$D$3:$D$51,MATCH(A193,Workers!$A$3:$A$51,0))="Per Day",D193*INDEX(Workers!$E$3:$E$51,MATCH(A193,Workers!$A$3:$A$51,0)),INDEX(Workers!$E$3:$E$51,MATCH(A193,Workers!$A$3:$A$51,0))),"Invalid Worker ID"))</f>
        <v/>
      </c>
      <c r="G193">
        <f>IF(OR(A193="",E193="Invalid Worker ID"),"",E193-F193)</f>
        <v/>
      </c>
      <c r="H193">
        <f>IF(A193="","",IFERROR(INDEX(Workers!$F$3:$F$51,MATCH(A193,Workers!$A$3:$A$51,0)),"Invalid Worker ID"))</f>
        <v/>
      </c>
      <c r="K193">
        <f>A193&amp;"|"&amp;C193</f>
        <v/>
      </c>
    </row>
    <row r="194">
      <c r="B194">
        <f>IF(A194="","",IFERROR(INDEX(Workers!$B$3:$B$51,MATCH(A194,Workers!$A$3:$A$51,0)),"Invalid Worker ID"))</f>
        <v/>
      </c>
      <c r="C194" s="15" t="n"/>
      <c r="E194">
        <f>IF(A194="","",IFERROR(IF(INDEX(Workers!$D$3:$D$51,MATCH(A194,Workers!$A$3:$A$51,0))="Per Day",D194*INDEX(Workers!$E$3:$E$51,MATCH(A194,Workers!$A$3:$A$51,0)),INDEX(Workers!$E$3:$E$51,MATCH(A194,Workers!$A$3:$A$51,0))),"Invalid Worker ID"))</f>
        <v/>
      </c>
      <c r="G194">
        <f>IF(OR(A194="",E194="Invalid Worker ID"),"",E194-F194)</f>
        <v/>
      </c>
      <c r="H194">
        <f>IF(A194="","",IFERROR(INDEX(Workers!$F$3:$F$51,MATCH(A194,Workers!$A$3:$A$51,0)),"Invalid Worker ID"))</f>
        <v/>
      </c>
      <c r="K194">
        <f>A194&amp;"|"&amp;C194</f>
        <v/>
      </c>
    </row>
    <row r="195">
      <c r="B195">
        <f>IF(A195="","",IFERROR(INDEX(Workers!$B$3:$B$51,MATCH(A195,Workers!$A$3:$A$51,0)),"Invalid Worker ID"))</f>
        <v/>
      </c>
      <c r="C195" s="15" t="n"/>
      <c r="E195">
        <f>IF(A195="","",IFERROR(IF(INDEX(Workers!$D$3:$D$51,MATCH(A195,Workers!$A$3:$A$51,0))="Per Day",D195*INDEX(Workers!$E$3:$E$51,MATCH(A195,Workers!$A$3:$A$51,0)),INDEX(Workers!$E$3:$E$51,MATCH(A195,Workers!$A$3:$A$51,0))),"Invalid Worker ID"))</f>
        <v/>
      </c>
      <c r="G195">
        <f>IF(OR(A195="",E195="Invalid Worker ID"),"",E195-F195)</f>
        <v/>
      </c>
      <c r="H195">
        <f>IF(A195="","",IFERROR(INDEX(Workers!$F$3:$F$51,MATCH(A195,Workers!$A$3:$A$51,0)),"Invalid Worker ID"))</f>
        <v/>
      </c>
      <c r="K195">
        <f>A195&amp;"|"&amp;C195</f>
        <v/>
      </c>
    </row>
    <row r="196">
      <c r="B196">
        <f>IF(A196="","",IFERROR(INDEX(Workers!$B$3:$B$51,MATCH(A196,Workers!$A$3:$A$51,0)),"Invalid Worker ID"))</f>
        <v/>
      </c>
      <c r="C196" s="15" t="n"/>
      <c r="E196">
        <f>IF(A196="","",IFERROR(IF(INDEX(Workers!$D$3:$D$51,MATCH(A196,Workers!$A$3:$A$51,0))="Per Day",D196*INDEX(Workers!$E$3:$E$51,MATCH(A196,Workers!$A$3:$A$51,0)),INDEX(Workers!$E$3:$E$51,MATCH(A196,Workers!$A$3:$A$51,0))),"Invalid Worker ID"))</f>
        <v/>
      </c>
      <c r="G196">
        <f>IF(OR(A196="",E196="Invalid Worker ID"),"",E196-F196)</f>
        <v/>
      </c>
      <c r="H196">
        <f>IF(A196="","",IFERROR(INDEX(Workers!$F$3:$F$51,MATCH(A196,Workers!$A$3:$A$51,0)),"Invalid Worker ID"))</f>
        <v/>
      </c>
      <c r="K196">
        <f>A196&amp;"|"&amp;C196</f>
        <v/>
      </c>
    </row>
    <row r="197">
      <c r="B197">
        <f>IF(A197="","",IFERROR(INDEX(Workers!$B$3:$B$51,MATCH(A197,Workers!$A$3:$A$51,0)),"Invalid Worker ID"))</f>
        <v/>
      </c>
      <c r="C197" s="15" t="n"/>
      <c r="E197">
        <f>IF(A197="","",IFERROR(IF(INDEX(Workers!$D$3:$D$51,MATCH(A197,Workers!$A$3:$A$51,0))="Per Day",D197*INDEX(Workers!$E$3:$E$51,MATCH(A197,Workers!$A$3:$A$51,0)),INDEX(Workers!$E$3:$E$51,MATCH(A197,Workers!$A$3:$A$51,0))),"Invalid Worker ID"))</f>
        <v/>
      </c>
      <c r="G197">
        <f>IF(OR(A197="",E197="Invalid Worker ID"),"",E197-F197)</f>
        <v/>
      </c>
      <c r="H197">
        <f>IF(A197="","",IFERROR(INDEX(Workers!$F$3:$F$51,MATCH(A197,Workers!$A$3:$A$51,0)),"Invalid Worker ID"))</f>
        <v/>
      </c>
      <c r="K197">
        <f>A197&amp;"|"&amp;C197</f>
        <v/>
      </c>
    </row>
    <row r="198">
      <c r="B198">
        <f>IF(A198="","",IFERROR(INDEX(Workers!$B$3:$B$51,MATCH(A198,Workers!$A$3:$A$51,0)),"Invalid Worker ID"))</f>
        <v/>
      </c>
      <c r="C198" s="15" t="n"/>
      <c r="E198">
        <f>IF(A198="","",IFERROR(IF(INDEX(Workers!$D$3:$D$51,MATCH(A198,Workers!$A$3:$A$51,0))="Per Day",D198*INDEX(Workers!$E$3:$E$51,MATCH(A198,Workers!$A$3:$A$51,0)),INDEX(Workers!$E$3:$E$51,MATCH(A198,Workers!$A$3:$A$51,0))),"Invalid Worker ID"))</f>
        <v/>
      </c>
      <c r="G198">
        <f>IF(OR(A198="",E198="Invalid Worker ID"),"",E198-F198)</f>
        <v/>
      </c>
      <c r="H198">
        <f>IF(A198="","",IFERROR(INDEX(Workers!$F$3:$F$51,MATCH(A198,Workers!$A$3:$A$51,0)),"Invalid Worker ID"))</f>
        <v/>
      </c>
      <c r="K198">
        <f>A198&amp;"|"&amp;C198</f>
        <v/>
      </c>
    </row>
    <row r="199">
      <c r="B199">
        <f>IF(A199="","",IFERROR(INDEX(Workers!$B$3:$B$51,MATCH(A199,Workers!$A$3:$A$51,0)),"Invalid Worker ID"))</f>
        <v/>
      </c>
      <c r="C199" s="15" t="n"/>
      <c r="E199">
        <f>IF(A199="","",IFERROR(IF(INDEX(Workers!$D$3:$D$51,MATCH(A199,Workers!$A$3:$A$51,0))="Per Day",D199*INDEX(Workers!$E$3:$E$51,MATCH(A199,Workers!$A$3:$A$51,0)),INDEX(Workers!$E$3:$E$51,MATCH(A199,Workers!$A$3:$A$51,0))),"Invalid Worker ID"))</f>
        <v/>
      </c>
      <c r="G199">
        <f>IF(OR(A199="",E199="Invalid Worker ID"),"",E199-F199)</f>
        <v/>
      </c>
      <c r="H199">
        <f>IF(A199="","",IFERROR(INDEX(Workers!$F$3:$F$51,MATCH(A199,Workers!$A$3:$A$51,0)),"Invalid Worker ID"))</f>
        <v/>
      </c>
      <c r="K199">
        <f>A199&amp;"|"&amp;C199</f>
        <v/>
      </c>
    </row>
    <row r="200">
      <c r="B200">
        <f>IF(A200="","",IFERROR(INDEX(Workers!$B$3:$B$51,MATCH(A200,Workers!$A$3:$A$51,0)),"Invalid Worker ID"))</f>
        <v/>
      </c>
      <c r="C200" s="15" t="n"/>
      <c r="E200">
        <f>IF(A200="","",IFERROR(IF(INDEX(Workers!$D$3:$D$51,MATCH(A200,Workers!$A$3:$A$51,0))="Per Day",D200*INDEX(Workers!$E$3:$E$51,MATCH(A200,Workers!$A$3:$A$51,0)),INDEX(Workers!$E$3:$E$51,MATCH(A200,Workers!$A$3:$A$51,0))),"Invalid Worker ID"))</f>
        <v/>
      </c>
      <c r="G200">
        <f>IF(OR(A200="",E200="Invalid Worker ID"),"",E200-F200)</f>
        <v/>
      </c>
      <c r="H200">
        <f>IF(A200="","",IFERROR(INDEX(Workers!$F$3:$F$51,MATCH(A200,Workers!$A$3:$A$51,0)),"Invalid Worker ID"))</f>
        <v/>
      </c>
      <c r="K200">
        <f>A200&amp;"|"&amp;C200</f>
        <v/>
      </c>
    </row>
    <row r="201">
      <c r="B201">
        <f>IF(A201="","",IFERROR(INDEX(Workers!$B$3:$B$51,MATCH(A201,Workers!$A$3:$A$51,0)),"Invalid Worker ID"))</f>
        <v/>
      </c>
      <c r="C201" s="15" t="n"/>
      <c r="E201">
        <f>IF(A201="","",IFERROR(IF(INDEX(Workers!$D$3:$D$51,MATCH(A201,Workers!$A$3:$A$51,0))="Per Day",D201*INDEX(Workers!$E$3:$E$51,MATCH(A201,Workers!$A$3:$A$51,0)),INDEX(Workers!$E$3:$E$51,MATCH(A201,Workers!$A$3:$A$51,0))),"Invalid Worker ID"))</f>
        <v/>
      </c>
      <c r="G201">
        <f>IF(OR(A201="",E201="Invalid Worker ID"),"",E201-F201)</f>
        <v/>
      </c>
      <c r="H201">
        <f>IF(A201="","",IFERROR(INDEX(Workers!$F$3:$F$51,MATCH(A201,Workers!$A$3:$A$51,0)),"Invalid Worker ID"))</f>
        <v/>
      </c>
      <c r="K201">
        <f>A201&amp;"|"&amp;C201</f>
        <v/>
      </c>
    </row>
    <row r="202">
      <c r="B202">
        <f>IF(A202="","",IFERROR(INDEX(Workers!$B$3:$B$51,MATCH(A202,Workers!$A$3:$A$51,0)),"Invalid Worker ID"))</f>
        <v/>
      </c>
      <c r="C202" s="15" t="n"/>
      <c r="E202">
        <f>IF(A202="","",IFERROR(IF(INDEX(Workers!$D$3:$D$51,MATCH(A202,Workers!$A$3:$A$51,0))="Per Day",D202*INDEX(Workers!$E$3:$E$51,MATCH(A202,Workers!$A$3:$A$51,0)),INDEX(Workers!$E$3:$E$51,MATCH(A202,Workers!$A$3:$A$51,0))),"Invalid Worker ID"))</f>
        <v/>
      </c>
      <c r="G202">
        <f>IF(OR(A202="",E202="Invalid Worker ID"),"",E202-F202)</f>
        <v/>
      </c>
      <c r="H202">
        <f>IF(A202="","",IFERROR(INDEX(Workers!$F$3:$F$51,MATCH(A202,Workers!$A$3:$A$51,0)),"Invalid Worker ID"))</f>
        <v/>
      </c>
      <c r="K202">
        <f>A202&amp;"|"&amp;C202</f>
        <v/>
      </c>
    </row>
    <row r="203">
      <c r="B203">
        <f>IF(A203="","",IFERROR(INDEX(Workers!$B$3:$B$51,MATCH(A203,Workers!$A$3:$A$51,0)),"Invalid Worker ID"))</f>
        <v/>
      </c>
      <c r="C203" s="15" t="n"/>
      <c r="E203">
        <f>IF(A203="","",IFERROR(IF(INDEX(Workers!$D$3:$D$51,MATCH(A203,Workers!$A$3:$A$51,0))="Per Day",D203*INDEX(Workers!$E$3:$E$51,MATCH(A203,Workers!$A$3:$A$51,0)),INDEX(Workers!$E$3:$E$51,MATCH(A203,Workers!$A$3:$A$51,0))),"Invalid Worker ID"))</f>
        <v/>
      </c>
      <c r="G203">
        <f>IF(OR(A203="",E203="Invalid Worker ID"),"",E203-F203)</f>
        <v/>
      </c>
      <c r="H203">
        <f>IF(A203="","",IFERROR(INDEX(Workers!$F$3:$F$51,MATCH(A203,Workers!$A$3:$A$51,0)),"Invalid Worker ID"))</f>
        <v/>
      </c>
      <c r="K203">
        <f>A203&amp;"|"&amp;C203</f>
        <v/>
      </c>
    </row>
    <row r="204">
      <c r="B204">
        <f>IF(A204="","",IFERROR(INDEX(Workers!$B$3:$B$51,MATCH(A204,Workers!$A$3:$A$51,0)),"Invalid Worker ID"))</f>
        <v/>
      </c>
      <c r="C204" s="15" t="n"/>
      <c r="E204">
        <f>IF(A204="","",IFERROR(IF(INDEX(Workers!$D$3:$D$51,MATCH(A204,Workers!$A$3:$A$51,0))="Per Day",D204*INDEX(Workers!$E$3:$E$51,MATCH(A204,Workers!$A$3:$A$51,0)),INDEX(Workers!$E$3:$E$51,MATCH(A204,Workers!$A$3:$A$51,0))),"Invalid Worker ID"))</f>
        <v/>
      </c>
      <c r="G204">
        <f>IF(OR(A204="",E204="Invalid Worker ID"),"",E204-F204)</f>
        <v/>
      </c>
      <c r="H204">
        <f>IF(A204="","",IFERROR(INDEX(Workers!$F$3:$F$51,MATCH(A204,Workers!$A$3:$A$51,0)),"Invalid Worker ID"))</f>
        <v/>
      </c>
      <c r="K204">
        <f>A204&amp;"|"&amp;C204</f>
        <v/>
      </c>
    </row>
    <row r="205">
      <c r="B205">
        <f>IF(A205="","",IFERROR(INDEX(Workers!$B$3:$B$51,MATCH(A205,Workers!$A$3:$A$51,0)),"Invalid Worker ID"))</f>
        <v/>
      </c>
      <c r="C205" s="15" t="n"/>
      <c r="E205">
        <f>IF(A205="","",IFERROR(IF(INDEX(Workers!$D$3:$D$51,MATCH(A205,Workers!$A$3:$A$51,0))="Per Day",D205*INDEX(Workers!$E$3:$E$51,MATCH(A205,Workers!$A$3:$A$51,0)),INDEX(Workers!$E$3:$E$51,MATCH(A205,Workers!$A$3:$A$51,0))),"Invalid Worker ID"))</f>
        <v/>
      </c>
      <c r="G205">
        <f>IF(OR(A205="",E205="Invalid Worker ID"),"",E205-F205)</f>
        <v/>
      </c>
      <c r="H205">
        <f>IF(A205="","",IFERROR(INDEX(Workers!$F$3:$F$51,MATCH(A205,Workers!$A$3:$A$51,0)),"Invalid Worker ID"))</f>
        <v/>
      </c>
      <c r="K205">
        <f>A205&amp;"|"&amp;C205</f>
        <v/>
      </c>
    </row>
    <row r="206">
      <c r="B206">
        <f>IF(A206="","",IFERROR(INDEX(Workers!$B$3:$B$51,MATCH(A206,Workers!$A$3:$A$51,0)),"Invalid Worker ID"))</f>
        <v/>
      </c>
      <c r="C206" s="15" t="n"/>
      <c r="E206">
        <f>IF(A206="","",IFERROR(IF(INDEX(Workers!$D$3:$D$51,MATCH(A206,Workers!$A$3:$A$51,0))="Per Day",D206*INDEX(Workers!$E$3:$E$51,MATCH(A206,Workers!$A$3:$A$51,0)),INDEX(Workers!$E$3:$E$51,MATCH(A206,Workers!$A$3:$A$51,0))),"Invalid Worker ID"))</f>
        <v/>
      </c>
      <c r="G206">
        <f>IF(OR(A206="",E206="Invalid Worker ID"),"",E206-F206)</f>
        <v/>
      </c>
      <c r="H206">
        <f>IF(A206="","",IFERROR(INDEX(Workers!$F$3:$F$51,MATCH(A206,Workers!$A$3:$A$51,0)),"Invalid Worker ID"))</f>
        <v/>
      </c>
      <c r="K206">
        <f>A206&amp;"|"&amp;C206</f>
        <v/>
      </c>
    </row>
    <row r="207">
      <c r="B207">
        <f>IF(A207="","",IFERROR(INDEX(Workers!$B$3:$B$51,MATCH(A207,Workers!$A$3:$A$51,0)),"Invalid Worker ID"))</f>
        <v/>
      </c>
      <c r="C207" s="15" t="n"/>
      <c r="E207">
        <f>IF(A207="","",IFERROR(IF(INDEX(Workers!$D$3:$D$51,MATCH(A207,Workers!$A$3:$A$51,0))="Per Day",D207*INDEX(Workers!$E$3:$E$51,MATCH(A207,Workers!$A$3:$A$51,0)),INDEX(Workers!$E$3:$E$51,MATCH(A207,Workers!$A$3:$A$51,0))),"Invalid Worker ID"))</f>
        <v/>
      </c>
      <c r="G207">
        <f>IF(OR(A207="",E207="Invalid Worker ID"),"",E207-F207)</f>
        <v/>
      </c>
      <c r="H207">
        <f>IF(A207="","",IFERROR(INDEX(Workers!$F$3:$F$51,MATCH(A207,Workers!$A$3:$A$51,0)),"Invalid Worker ID"))</f>
        <v/>
      </c>
      <c r="K207">
        <f>A207&amp;"|"&amp;C207</f>
        <v/>
      </c>
    </row>
    <row r="208">
      <c r="B208">
        <f>IF(A208="","",IFERROR(INDEX(Workers!$B$3:$B$51,MATCH(A208,Workers!$A$3:$A$51,0)),"Invalid Worker ID"))</f>
        <v/>
      </c>
      <c r="C208" s="15" t="n"/>
      <c r="E208">
        <f>IF(A208="","",IFERROR(IF(INDEX(Workers!$D$3:$D$51,MATCH(A208,Workers!$A$3:$A$51,0))="Per Day",D208*INDEX(Workers!$E$3:$E$51,MATCH(A208,Workers!$A$3:$A$51,0)),INDEX(Workers!$E$3:$E$51,MATCH(A208,Workers!$A$3:$A$51,0))),"Invalid Worker ID"))</f>
        <v/>
      </c>
      <c r="G208">
        <f>IF(OR(A208="",E208="Invalid Worker ID"),"",E208-F208)</f>
        <v/>
      </c>
      <c r="H208">
        <f>IF(A208="","",IFERROR(INDEX(Workers!$F$3:$F$51,MATCH(A208,Workers!$A$3:$A$51,0)),"Invalid Worker ID"))</f>
        <v/>
      </c>
      <c r="K208">
        <f>A208&amp;"|"&amp;C208</f>
        <v/>
      </c>
    </row>
    <row r="209">
      <c r="B209">
        <f>IF(A209="","",IFERROR(INDEX(Workers!$B$3:$B$51,MATCH(A209,Workers!$A$3:$A$51,0)),"Invalid Worker ID"))</f>
        <v/>
      </c>
      <c r="C209" s="15" t="n"/>
      <c r="E209">
        <f>IF(A209="","",IFERROR(IF(INDEX(Workers!$D$3:$D$51,MATCH(A209,Workers!$A$3:$A$51,0))="Per Day",D209*INDEX(Workers!$E$3:$E$51,MATCH(A209,Workers!$A$3:$A$51,0)),INDEX(Workers!$E$3:$E$51,MATCH(A209,Workers!$A$3:$A$51,0))),"Invalid Worker ID"))</f>
        <v/>
      </c>
      <c r="G209">
        <f>IF(OR(A209="",E209="Invalid Worker ID"),"",E209-F209)</f>
        <v/>
      </c>
      <c r="H209">
        <f>IF(A209="","",IFERROR(INDEX(Workers!$F$3:$F$51,MATCH(A209,Workers!$A$3:$A$51,0)),"Invalid Worker ID"))</f>
        <v/>
      </c>
      <c r="K209">
        <f>A209&amp;"|"&amp;C209</f>
        <v/>
      </c>
    </row>
    <row r="210">
      <c r="B210">
        <f>IF(A210="","",IFERROR(INDEX(Workers!$B$3:$B$51,MATCH(A210,Workers!$A$3:$A$51,0)),"Invalid Worker ID"))</f>
        <v/>
      </c>
      <c r="C210" s="15" t="n"/>
      <c r="E210">
        <f>IF(A210="","",IFERROR(IF(INDEX(Workers!$D$3:$D$51,MATCH(A210,Workers!$A$3:$A$51,0))="Per Day",D210*INDEX(Workers!$E$3:$E$51,MATCH(A210,Workers!$A$3:$A$51,0)),INDEX(Workers!$E$3:$E$51,MATCH(A210,Workers!$A$3:$A$51,0))),"Invalid Worker ID"))</f>
        <v/>
      </c>
      <c r="G210">
        <f>IF(OR(A210="",E210="Invalid Worker ID"),"",E210-F210)</f>
        <v/>
      </c>
      <c r="H210">
        <f>IF(A210="","",IFERROR(INDEX(Workers!$F$3:$F$51,MATCH(A210,Workers!$A$3:$A$51,0)),"Invalid Worker ID"))</f>
        <v/>
      </c>
      <c r="K210">
        <f>A210&amp;"|"&amp;C210</f>
        <v/>
      </c>
    </row>
    <row r="211">
      <c r="B211">
        <f>IF(A211="","",IFERROR(INDEX(Workers!$B$3:$B$51,MATCH(A211,Workers!$A$3:$A$51,0)),"Invalid Worker ID"))</f>
        <v/>
      </c>
      <c r="C211" s="15" t="n"/>
      <c r="E211">
        <f>IF(A211="","",IFERROR(IF(INDEX(Workers!$D$3:$D$51,MATCH(A211,Workers!$A$3:$A$51,0))="Per Day",D211*INDEX(Workers!$E$3:$E$51,MATCH(A211,Workers!$A$3:$A$51,0)),INDEX(Workers!$E$3:$E$51,MATCH(A211,Workers!$A$3:$A$51,0))),"Invalid Worker ID"))</f>
        <v/>
      </c>
      <c r="G211">
        <f>IF(OR(A211="",E211="Invalid Worker ID"),"",E211-F211)</f>
        <v/>
      </c>
      <c r="H211">
        <f>IF(A211="","",IFERROR(INDEX(Workers!$F$3:$F$51,MATCH(A211,Workers!$A$3:$A$51,0)),"Invalid Worker ID"))</f>
        <v/>
      </c>
      <c r="K211">
        <f>A211&amp;"|"&amp;C211</f>
        <v/>
      </c>
    </row>
    <row r="212">
      <c r="B212">
        <f>IF(A212="","",IFERROR(INDEX(Workers!$B$3:$B$51,MATCH(A212,Workers!$A$3:$A$51,0)),"Invalid Worker ID"))</f>
        <v/>
      </c>
      <c r="C212" s="15" t="n"/>
      <c r="E212">
        <f>IF(A212="","",IFERROR(IF(INDEX(Workers!$D$3:$D$51,MATCH(A212,Workers!$A$3:$A$51,0))="Per Day",D212*INDEX(Workers!$E$3:$E$51,MATCH(A212,Workers!$A$3:$A$51,0)),INDEX(Workers!$E$3:$E$51,MATCH(A212,Workers!$A$3:$A$51,0))),"Invalid Worker ID"))</f>
        <v/>
      </c>
      <c r="G212">
        <f>IF(OR(A212="",E212="Invalid Worker ID"),"",E212-F212)</f>
        <v/>
      </c>
      <c r="H212">
        <f>IF(A212="","",IFERROR(INDEX(Workers!$F$3:$F$51,MATCH(A212,Workers!$A$3:$A$51,0)),"Invalid Worker ID"))</f>
        <v/>
      </c>
      <c r="K212">
        <f>A212&amp;"|"&amp;C212</f>
        <v/>
      </c>
    </row>
    <row r="213">
      <c r="B213">
        <f>IF(A213="","",IFERROR(INDEX(Workers!$B$3:$B$51,MATCH(A213,Workers!$A$3:$A$51,0)),"Invalid Worker ID"))</f>
        <v/>
      </c>
      <c r="C213" s="15" t="n"/>
      <c r="E213">
        <f>IF(A213="","",IFERROR(IF(INDEX(Workers!$D$3:$D$51,MATCH(A213,Workers!$A$3:$A$51,0))="Per Day",D213*INDEX(Workers!$E$3:$E$51,MATCH(A213,Workers!$A$3:$A$51,0)),INDEX(Workers!$E$3:$E$51,MATCH(A213,Workers!$A$3:$A$51,0))),"Invalid Worker ID"))</f>
        <v/>
      </c>
      <c r="G213">
        <f>IF(OR(A213="",E213="Invalid Worker ID"),"",E213-F213)</f>
        <v/>
      </c>
      <c r="H213">
        <f>IF(A213="","",IFERROR(INDEX(Workers!$F$3:$F$51,MATCH(A213,Workers!$A$3:$A$51,0)),"Invalid Worker ID"))</f>
        <v/>
      </c>
      <c r="K213">
        <f>A213&amp;"|"&amp;C213</f>
        <v/>
      </c>
    </row>
    <row r="214">
      <c r="B214">
        <f>IF(A214="","",IFERROR(INDEX(Workers!$B$3:$B$51,MATCH(A214,Workers!$A$3:$A$51,0)),"Invalid Worker ID"))</f>
        <v/>
      </c>
      <c r="C214" s="15" t="n"/>
      <c r="E214">
        <f>IF(A214="","",IFERROR(IF(INDEX(Workers!$D$3:$D$51,MATCH(A214,Workers!$A$3:$A$51,0))="Per Day",D214*INDEX(Workers!$E$3:$E$51,MATCH(A214,Workers!$A$3:$A$51,0)),INDEX(Workers!$E$3:$E$51,MATCH(A214,Workers!$A$3:$A$51,0))),"Invalid Worker ID"))</f>
        <v/>
      </c>
      <c r="G214">
        <f>IF(OR(A214="",E214="Invalid Worker ID"),"",E214-F214)</f>
        <v/>
      </c>
      <c r="H214">
        <f>IF(A214="","",IFERROR(INDEX(Workers!$F$3:$F$51,MATCH(A214,Workers!$A$3:$A$51,0)),"Invalid Worker ID"))</f>
        <v/>
      </c>
      <c r="K214">
        <f>A214&amp;"|"&amp;C214</f>
        <v/>
      </c>
    </row>
    <row r="215">
      <c r="B215">
        <f>IF(A215="","",IFERROR(INDEX(Workers!$B$3:$B$51,MATCH(A215,Workers!$A$3:$A$51,0)),"Invalid Worker ID"))</f>
        <v/>
      </c>
      <c r="C215" s="15" t="n"/>
      <c r="E215">
        <f>IF(A215="","",IFERROR(IF(INDEX(Workers!$D$3:$D$51,MATCH(A215,Workers!$A$3:$A$51,0))="Per Day",D215*INDEX(Workers!$E$3:$E$51,MATCH(A215,Workers!$A$3:$A$51,0)),INDEX(Workers!$E$3:$E$51,MATCH(A215,Workers!$A$3:$A$51,0))),"Invalid Worker ID"))</f>
        <v/>
      </c>
      <c r="G215">
        <f>IF(OR(A215="",E215="Invalid Worker ID"),"",E215-F215)</f>
        <v/>
      </c>
      <c r="H215">
        <f>IF(A215="","",IFERROR(INDEX(Workers!$F$3:$F$51,MATCH(A215,Workers!$A$3:$A$51,0)),"Invalid Worker ID"))</f>
        <v/>
      </c>
      <c r="K215">
        <f>A215&amp;"|"&amp;C215</f>
        <v/>
      </c>
    </row>
    <row r="216">
      <c r="B216">
        <f>IF(A216="","",IFERROR(INDEX(Workers!$B$3:$B$51,MATCH(A216,Workers!$A$3:$A$51,0)),"Invalid Worker ID"))</f>
        <v/>
      </c>
      <c r="C216" s="15" t="n"/>
      <c r="E216">
        <f>IF(A216="","",IFERROR(IF(INDEX(Workers!$D$3:$D$51,MATCH(A216,Workers!$A$3:$A$51,0))="Per Day",D216*INDEX(Workers!$E$3:$E$51,MATCH(A216,Workers!$A$3:$A$51,0)),INDEX(Workers!$E$3:$E$51,MATCH(A216,Workers!$A$3:$A$51,0))),"Invalid Worker ID"))</f>
        <v/>
      </c>
      <c r="G216">
        <f>IF(OR(A216="",E216="Invalid Worker ID"),"",E216-F216)</f>
        <v/>
      </c>
      <c r="H216">
        <f>IF(A216="","",IFERROR(INDEX(Workers!$F$3:$F$51,MATCH(A216,Workers!$A$3:$A$51,0)),"Invalid Worker ID"))</f>
        <v/>
      </c>
      <c r="K216">
        <f>A216&amp;"|"&amp;C216</f>
        <v/>
      </c>
    </row>
    <row r="217">
      <c r="B217">
        <f>IF(A217="","",IFERROR(INDEX(Workers!$B$3:$B$51,MATCH(A217,Workers!$A$3:$A$51,0)),"Invalid Worker ID"))</f>
        <v/>
      </c>
      <c r="C217" s="15" t="n"/>
      <c r="E217">
        <f>IF(A217="","",IFERROR(IF(INDEX(Workers!$D$3:$D$51,MATCH(A217,Workers!$A$3:$A$51,0))="Per Day",D217*INDEX(Workers!$E$3:$E$51,MATCH(A217,Workers!$A$3:$A$51,0)),INDEX(Workers!$E$3:$E$51,MATCH(A217,Workers!$A$3:$A$51,0))),"Invalid Worker ID"))</f>
        <v/>
      </c>
      <c r="G217">
        <f>IF(OR(A217="",E217="Invalid Worker ID"),"",E217-F217)</f>
        <v/>
      </c>
      <c r="H217">
        <f>IF(A217="","",IFERROR(INDEX(Workers!$F$3:$F$51,MATCH(A217,Workers!$A$3:$A$51,0)),"Invalid Worker ID"))</f>
        <v/>
      </c>
      <c r="K217">
        <f>A217&amp;"|"&amp;C217</f>
        <v/>
      </c>
    </row>
    <row r="218">
      <c r="B218">
        <f>IF(A218="","",IFERROR(INDEX(Workers!$B$3:$B$51,MATCH(A218,Workers!$A$3:$A$51,0)),"Invalid Worker ID"))</f>
        <v/>
      </c>
      <c r="C218" s="15" t="n"/>
      <c r="E218">
        <f>IF(A218="","",IFERROR(IF(INDEX(Workers!$D$3:$D$51,MATCH(A218,Workers!$A$3:$A$51,0))="Per Day",D218*INDEX(Workers!$E$3:$E$51,MATCH(A218,Workers!$A$3:$A$51,0)),INDEX(Workers!$E$3:$E$51,MATCH(A218,Workers!$A$3:$A$51,0))),"Invalid Worker ID"))</f>
        <v/>
      </c>
      <c r="G218">
        <f>IF(OR(A218="",E218="Invalid Worker ID"),"",E218-F218)</f>
        <v/>
      </c>
      <c r="H218">
        <f>IF(A218="","",IFERROR(INDEX(Workers!$F$3:$F$51,MATCH(A218,Workers!$A$3:$A$51,0)),"Invalid Worker ID"))</f>
        <v/>
      </c>
      <c r="K218">
        <f>A218&amp;"|"&amp;C218</f>
        <v/>
      </c>
    </row>
    <row r="219">
      <c r="B219">
        <f>IF(A219="","",IFERROR(INDEX(Workers!$B$3:$B$51,MATCH(A219,Workers!$A$3:$A$51,0)),"Invalid Worker ID"))</f>
        <v/>
      </c>
      <c r="C219" s="15" t="n"/>
      <c r="E219">
        <f>IF(A219="","",IFERROR(IF(INDEX(Workers!$D$3:$D$51,MATCH(A219,Workers!$A$3:$A$51,0))="Per Day",D219*INDEX(Workers!$E$3:$E$51,MATCH(A219,Workers!$A$3:$A$51,0)),INDEX(Workers!$E$3:$E$51,MATCH(A219,Workers!$A$3:$A$51,0))),"Invalid Worker ID"))</f>
        <v/>
      </c>
      <c r="G219">
        <f>IF(OR(A219="",E219="Invalid Worker ID"),"",E219-F219)</f>
        <v/>
      </c>
      <c r="H219">
        <f>IF(A219="","",IFERROR(INDEX(Workers!$F$3:$F$51,MATCH(A219,Workers!$A$3:$A$51,0)),"Invalid Worker ID"))</f>
        <v/>
      </c>
      <c r="K219">
        <f>A219&amp;"|"&amp;C219</f>
        <v/>
      </c>
    </row>
    <row r="220">
      <c r="B220">
        <f>IF(A220="","",IFERROR(INDEX(Workers!$B$3:$B$51,MATCH(A220,Workers!$A$3:$A$51,0)),"Invalid Worker ID"))</f>
        <v/>
      </c>
      <c r="C220" s="15" t="n"/>
      <c r="E220">
        <f>IF(A220="","",IFERROR(IF(INDEX(Workers!$D$3:$D$51,MATCH(A220,Workers!$A$3:$A$51,0))="Per Day",D220*INDEX(Workers!$E$3:$E$51,MATCH(A220,Workers!$A$3:$A$51,0)),INDEX(Workers!$E$3:$E$51,MATCH(A220,Workers!$A$3:$A$51,0))),"Invalid Worker ID"))</f>
        <v/>
      </c>
      <c r="G220">
        <f>IF(OR(A220="",E220="Invalid Worker ID"),"",E220-F220)</f>
        <v/>
      </c>
      <c r="H220">
        <f>IF(A220="","",IFERROR(INDEX(Workers!$F$3:$F$51,MATCH(A220,Workers!$A$3:$A$51,0)),"Invalid Worker ID"))</f>
        <v/>
      </c>
      <c r="K220">
        <f>A220&amp;"|"&amp;C220</f>
        <v/>
      </c>
    </row>
    <row r="221">
      <c r="B221">
        <f>IF(A221="","",IFERROR(INDEX(Workers!$B$3:$B$51,MATCH(A221,Workers!$A$3:$A$51,0)),"Invalid Worker ID"))</f>
        <v/>
      </c>
      <c r="C221" s="15" t="n"/>
      <c r="E221">
        <f>IF(A221="","",IFERROR(IF(INDEX(Workers!$D$3:$D$51,MATCH(A221,Workers!$A$3:$A$51,0))="Per Day",D221*INDEX(Workers!$E$3:$E$51,MATCH(A221,Workers!$A$3:$A$51,0)),INDEX(Workers!$E$3:$E$51,MATCH(A221,Workers!$A$3:$A$51,0))),"Invalid Worker ID"))</f>
        <v/>
      </c>
      <c r="G221">
        <f>IF(OR(A221="",E221="Invalid Worker ID"),"",E221-F221)</f>
        <v/>
      </c>
      <c r="H221">
        <f>IF(A221="","",IFERROR(INDEX(Workers!$F$3:$F$51,MATCH(A221,Workers!$A$3:$A$51,0)),"Invalid Worker ID"))</f>
        <v/>
      </c>
      <c r="K221">
        <f>A221&amp;"|"&amp;C221</f>
        <v/>
      </c>
    </row>
    <row r="222">
      <c r="B222">
        <f>IF(A222="","",IFERROR(INDEX(Workers!$B$3:$B$51,MATCH(A222,Workers!$A$3:$A$51,0)),"Invalid Worker ID"))</f>
        <v/>
      </c>
      <c r="C222" s="15" t="n"/>
      <c r="E222">
        <f>IF(A222="","",IFERROR(IF(INDEX(Workers!$D$3:$D$51,MATCH(A222,Workers!$A$3:$A$51,0))="Per Day",D222*INDEX(Workers!$E$3:$E$51,MATCH(A222,Workers!$A$3:$A$51,0)),INDEX(Workers!$E$3:$E$51,MATCH(A222,Workers!$A$3:$A$51,0))),"Invalid Worker ID"))</f>
        <v/>
      </c>
      <c r="G222">
        <f>IF(OR(A222="",E222="Invalid Worker ID"),"",E222-F222)</f>
        <v/>
      </c>
      <c r="H222">
        <f>IF(A222="","",IFERROR(INDEX(Workers!$F$3:$F$51,MATCH(A222,Workers!$A$3:$A$51,0)),"Invalid Worker ID"))</f>
        <v/>
      </c>
      <c r="K222">
        <f>A222&amp;"|"&amp;C222</f>
        <v/>
      </c>
    </row>
    <row r="223">
      <c r="B223">
        <f>IF(A223="","",IFERROR(INDEX(Workers!$B$3:$B$51,MATCH(A223,Workers!$A$3:$A$51,0)),"Invalid Worker ID"))</f>
        <v/>
      </c>
      <c r="C223" s="15" t="n"/>
      <c r="E223">
        <f>IF(A223="","",IFERROR(IF(INDEX(Workers!$D$3:$D$51,MATCH(A223,Workers!$A$3:$A$51,0))="Per Day",D223*INDEX(Workers!$E$3:$E$51,MATCH(A223,Workers!$A$3:$A$51,0)),INDEX(Workers!$E$3:$E$51,MATCH(A223,Workers!$A$3:$A$51,0))),"Invalid Worker ID"))</f>
        <v/>
      </c>
      <c r="G223">
        <f>IF(OR(A223="",E223="Invalid Worker ID"),"",E223-F223)</f>
        <v/>
      </c>
      <c r="H223">
        <f>IF(A223="","",IFERROR(INDEX(Workers!$F$3:$F$51,MATCH(A223,Workers!$A$3:$A$51,0)),"Invalid Worker ID"))</f>
        <v/>
      </c>
      <c r="K223">
        <f>A223&amp;"|"&amp;C223</f>
        <v/>
      </c>
    </row>
    <row r="224">
      <c r="B224">
        <f>IF(A224="","",IFERROR(INDEX(Workers!$B$3:$B$51,MATCH(A224,Workers!$A$3:$A$51,0)),"Invalid Worker ID"))</f>
        <v/>
      </c>
      <c r="C224" s="15" t="n"/>
      <c r="E224">
        <f>IF(A224="","",IFERROR(IF(INDEX(Workers!$D$3:$D$51,MATCH(A224,Workers!$A$3:$A$51,0))="Per Day",D224*INDEX(Workers!$E$3:$E$51,MATCH(A224,Workers!$A$3:$A$51,0)),INDEX(Workers!$E$3:$E$51,MATCH(A224,Workers!$A$3:$A$51,0))),"Invalid Worker ID"))</f>
        <v/>
      </c>
      <c r="G224">
        <f>IF(OR(A224="",E224="Invalid Worker ID"),"",E224-F224)</f>
        <v/>
      </c>
      <c r="H224">
        <f>IF(A224="","",IFERROR(INDEX(Workers!$F$3:$F$51,MATCH(A224,Workers!$A$3:$A$51,0)),"Invalid Worker ID"))</f>
        <v/>
      </c>
      <c r="K224">
        <f>A224&amp;"|"&amp;C224</f>
        <v/>
      </c>
    </row>
    <row r="225">
      <c r="B225">
        <f>IF(A225="","",IFERROR(INDEX(Workers!$B$3:$B$51,MATCH(A225,Workers!$A$3:$A$51,0)),"Invalid Worker ID"))</f>
        <v/>
      </c>
      <c r="C225" s="15" t="n"/>
      <c r="E225">
        <f>IF(A225="","",IFERROR(IF(INDEX(Workers!$D$3:$D$51,MATCH(A225,Workers!$A$3:$A$51,0))="Per Day",D225*INDEX(Workers!$E$3:$E$51,MATCH(A225,Workers!$A$3:$A$51,0)),INDEX(Workers!$E$3:$E$51,MATCH(A225,Workers!$A$3:$A$51,0))),"Invalid Worker ID"))</f>
        <v/>
      </c>
      <c r="G225">
        <f>IF(OR(A225="",E225="Invalid Worker ID"),"",E225-F225)</f>
        <v/>
      </c>
      <c r="H225">
        <f>IF(A225="","",IFERROR(INDEX(Workers!$F$3:$F$51,MATCH(A225,Workers!$A$3:$A$51,0)),"Invalid Worker ID"))</f>
        <v/>
      </c>
      <c r="K225">
        <f>A225&amp;"|"&amp;C225</f>
        <v/>
      </c>
    </row>
    <row r="226">
      <c r="B226">
        <f>IF(A226="","",IFERROR(INDEX(Workers!$B$3:$B$51,MATCH(A226,Workers!$A$3:$A$51,0)),"Invalid Worker ID"))</f>
        <v/>
      </c>
      <c r="C226" s="15" t="n"/>
      <c r="E226">
        <f>IF(A226="","",IFERROR(IF(INDEX(Workers!$D$3:$D$51,MATCH(A226,Workers!$A$3:$A$51,0))="Per Day",D226*INDEX(Workers!$E$3:$E$51,MATCH(A226,Workers!$A$3:$A$51,0)),INDEX(Workers!$E$3:$E$51,MATCH(A226,Workers!$A$3:$A$51,0))),"Invalid Worker ID"))</f>
        <v/>
      </c>
      <c r="G226">
        <f>IF(OR(A226="",E226="Invalid Worker ID"),"",E226-F226)</f>
        <v/>
      </c>
      <c r="H226">
        <f>IF(A226="","",IFERROR(INDEX(Workers!$F$3:$F$51,MATCH(A226,Workers!$A$3:$A$51,0)),"Invalid Worker ID"))</f>
        <v/>
      </c>
      <c r="K226">
        <f>A226&amp;"|"&amp;C226</f>
        <v/>
      </c>
    </row>
    <row r="227">
      <c r="B227">
        <f>IF(A227="","",IFERROR(INDEX(Workers!$B$3:$B$51,MATCH(A227,Workers!$A$3:$A$51,0)),"Invalid Worker ID"))</f>
        <v/>
      </c>
      <c r="C227" s="15" t="n"/>
      <c r="E227">
        <f>IF(A227="","",IFERROR(IF(INDEX(Workers!$D$3:$D$51,MATCH(A227,Workers!$A$3:$A$51,0))="Per Day",D227*INDEX(Workers!$E$3:$E$51,MATCH(A227,Workers!$A$3:$A$51,0)),INDEX(Workers!$E$3:$E$51,MATCH(A227,Workers!$A$3:$A$51,0))),"Invalid Worker ID"))</f>
        <v/>
      </c>
      <c r="G227">
        <f>IF(OR(A227="",E227="Invalid Worker ID"),"",E227-F227)</f>
        <v/>
      </c>
      <c r="H227">
        <f>IF(A227="","",IFERROR(INDEX(Workers!$F$3:$F$51,MATCH(A227,Workers!$A$3:$A$51,0)),"Invalid Worker ID"))</f>
        <v/>
      </c>
      <c r="K227">
        <f>A227&amp;"|"&amp;C227</f>
        <v/>
      </c>
    </row>
    <row r="228">
      <c r="B228">
        <f>IF(A228="","",IFERROR(INDEX(Workers!$B$3:$B$51,MATCH(A228,Workers!$A$3:$A$51,0)),"Invalid Worker ID"))</f>
        <v/>
      </c>
      <c r="C228" s="15" t="n"/>
      <c r="E228">
        <f>IF(A228="","",IFERROR(IF(INDEX(Workers!$D$3:$D$51,MATCH(A228,Workers!$A$3:$A$51,0))="Per Day",D228*INDEX(Workers!$E$3:$E$51,MATCH(A228,Workers!$A$3:$A$51,0)),INDEX(Workers!$E$3:$E$51,MATCH(A228,Workers!$A$3:$A$51,0))),"Invalid Worker ID"))</f>
        <v/>
      </c>
      <c r="G228">
        <f>IF(OR(A228="",E228="Invalid Worker ID"),"",E228-F228)</f>
        <v/>
      </c>
      <c r="H228">
        <f>IF(A228="","",IFERROR(INDEX(Workers!$F$3:$F$51,MATCH(A228,Workers!$A$3:$A$51,0)),"Invalid Worker ID"))</f>
        <v/>
      </c>
      <c r="K228">
        <f>A228&amp;"|"&amp;C228</f>
        <v/>
      </c>
    </row>
    <row r="229">
      <c r="B229">
        <f>IF(A229="","",IFERROR(INDEX(Workers!$B$3:$B$51,MATCH(A229,Workers!$A$3:$A$51,0)),"Invalid Worker ID"))</f>
        <v/>
      </c>
      <c r="C229" s="15" t="n"/>
      <c r="E229">
        <f>IF(A229="","",IFERROR(IF(INDEX(Workers!$D$3:$D$51,MATCH(A229,Workers!$A$3:$A$51,0))="Per Day",D229*INDEX(Workers!$E$3:$E$51,MATCH(A229,Workers!$A$3:$A$51,0)),INDEX(Workers!$E$3:$E$51,MATCH(A229,Workers!$A$3:$A$51,0))),"Invalid Worker ID"))</f>
        <v/>
      </c>
      <c r="G229">
        <f>IF(OR(A229="",E229="Invalid Worker ID"),"",E229-F229)</f>
        <v/>
      </c>
      <c r="H229">
        <f>IF(A229="","",IFERROR(INDEX(Workers!$F$3:$F$51,MATCH(A229,Workers!$A$3:$A$51,0)),"Invalid Worker ID"))</f>
        <v/>
      </c>
      <c r="K229">
        <f>A229&amp;"|"&amp;C229</f>
        <v/>
      </c>
    </row>
    <row r="230">
      <c r="B230">
        <f>IF(A230="","",IFERROR(INDEX(Workers!$B$3:$B$51,MATCH(A230,Workers!$A$3:$A$51,0)),"Invalid Worker ID"))</f>
        <v/>
      </c>
      <c r="C230" s="15" t="n"/>
      <c r="E230">
        <f>IF(A230="","",IFERROR(IF(INDEX(Workers!$D$3:$D$51,MATCH(A230,Workers!$A$3:$A$51,0))="Per Day",D230*INDEX(Workers!$E$3:$E$51,MATCH(A230,Workers!$A$3:$A$51,0)),INDEX(Workers!$E$3:$E$51,MATCH(A230,Workers!$A$3:$A$51,0))),"Invalid Worker ID"))</f>
        <v/>
      </c>
      <c r="G230">
        <f>IF(OR(A230="",E230="Invalid Worker ID"),"",E230-F230)</f>
        <v/>
      </c>
      <c r="H230">
        <f>IF(A230="","",IFERROR(INDEX(Workers!$F$3:$F$51,MATCH(A230,Workers!$A$3:$A$51,0)),"Invalid Worker ID"))</f>
        <v/>
      </c>
      <c r="K230">
        <f>A230&amp;"|"&amp;C230</f>
        <v/>
      </c>
    </row>
    <row r="231">
      <c r="B231">
        <f>IF(A231="","",IFERROR(INDEX(Workers!$B$3:$B$51,MATCH(A231,Workers!$A$3:$A$51,0)),"Invalid Worker ID"))</f>
        <v/>
      </c>
      <c r="C231" s="15" t="n"/>
      <c r="E231">
        <f>IF(A231="","",IFERROR(IF(INDEX(Workers!$D$3:$D$51,MATCH(A231,Workers!$A$3:$A$51,0))="Per Day",D231*INDEX(Workers!$E$3:$E$51,MATCH(A231,Workers!$A$3:$A$51,0)),INDEX(Workers!$E$3:$E$51,MATCH(A231,Workers!$A$3:$A$51,0))),"Invalid Worker ID"))</f>
        <v/>
      </c>
      <c r="G231">
        <f>IF(OR(A231="",E231="Invalid Worker ID"),"",E231-F231)</f>
        <v/>
      </c>
      <c r="H231">
        <f>IF(A231="","",IFERROR(INDEX(Workers!$F$3:$F$51,MATCH(A231,Workers!$A$3:$A$51,0)),"Invalid Worker ID"))</f>
        <v/>
      </c>
      <c r="K231">
        <f>A231&amp;"|"&amp;C231</f>
        <v/>
      </c>
    </row>
    <row r="232">
      <c r="B232">
        <f>IF(A232="","",IFERROR(INDEX(Workers!$B$3:$B$51,MATCH(A232,Workers!$A$3:$A$51,0)),"Invalid Worker ID"))</f>
        <v/>
      </c>
      <c r="C232" s="15" t="n"/>
      <c r="E232">
        <f>IF(A232="","",IFERROR(IF(INDEX(Workers!$D$3:$D$51,MATCH(A232,Workers!$A$3:$A$51,0))="Per Day",D232*INDEX(Workers!$E$3:$E$51,MATCH(A232,Workers!$A$3:$A$51,0)),INDEX(Workers!$E$3:$E$51,MATCH(A232,Workers!$A$3:$A$51,0))),"Invalid Worker ID"))</f>
        <v/>
      </c>
      <c r="G232">
        <f>IF(OR(A232="",E232="Invalid Worker ID"),"",E232-F232)</f>
        <v/>
      </c>
      <c r="H232">
        <f>IF(A232="","",IFERROR(INDEX(Workers!$F$3:$F$51,MATCH(A232,Workers!$A$3:$A$51,0)),"Invalid Worker ID"))</f>
        <v/>
      </c>
      <c r="K232">
        <f>A232&amp;"|"&amp;C232</f>
        <v/>
      </c>
    </row>
    <row r="233">
      <c r="B233">
        <f>IF(A233="","",IFERROR(INDEX(Workers!$B$3:$B$51,MATCH(A233,Workers!$A$3:$A$51,0)),"Invalid Worker ID"))</f>
        <v/>
      </c>
      <c r="C233" s="15" t="n"/>
      <c r="E233">
        <f>IF(A233="","",IFERROR(IF(INDEX(Workers!$D$3:$D$51,MATCH(A233,Workers!$A$3:$A$51,0))="Per Day",D233*INDEX(Workers!$E$3:$E$51,MATCH(A233,Workers!$A$3:$A$51,0)),INDEX(Workers!$E$3:$E$51,MATCH(A233,Workers!$A$3:$A$51,0))),"Invalid Worker ID"))</f>
        <v/>
      </c>
      <c r="G233">
        <f>IF(OR(A233="",E233="Invalid Worker ID"),"",E233-F233)</f>
        <v/>
      </c>
      <c r="H233">
        <f>IF(A233="","",IFERROR(INDEX(Workers!$F$3:$F$51,MATCH(A233,Workers!$A$3:$A$51,0)),"Invalid Worker ID"))</f>
        <v/>
      </c>
      <c r="K233">
        <f>A233&amp;"|"&amp;C233</f>
        <v/>
      </c>
    </row>
    <row r="234">
      <c r="B234">
        <f>IF(A234="","",IFERROR(INDEX(Workers!$B$3:$B$51,MATCH(A234,Workers!$A$3:$A$51,0)),"Invalid Worker ID"))</f>
        <v/>
      </c>
      <c r="C234" s="15" t="n"/>
      <c r="E234">
        <f>IF(A234="","",IFERROR(IF(INDEX(Workers!$D$3:$D$51,MATCH(A234,Workers!$A$3:$A$51,0))="Per Day",D234*INDEX(Workers!$E$3:$E$51,MATCH(A234,Workers!$A$3:$A$51,0)),INDEX(Workers!$E$3:$E$51,MATCH(A234,Workers!$A$3:$A$51,0))),"Invalid Worker ID"))</f>
        <v/>
      </c>
      <c r="G234">
        <f>IF(OR(A234="",E234="Invalid Worker ID"),"",E234-F234)</f>
        <v/>
      </c>
      <c r="H234">
        <f>IF(A234="","",IFERROR(INDEX(Workers!$F$3:$F$51,MATCH(A234,Workers!$A$3:$A$51,0)),"Invalid Worker ID"))</f>
        <v/>
      </c>
      <c r="K234">
        <f>A234&amp;"|"&amp;C234</f>
        <v/>
      </c>
    </row>
    <row r="235">
      <c r="B235">
        <f>IF(A235="","",IFERROR(INDEX(Workers!$B$3:$B$51,MATCH(A235,Workers!$A$3:$A$51,0)),"Invalid Worker ID"))</f>
        <v/>
      </c>
      <c r="C235" s="15" t="n"/>
      <c r="E235">
        <f>IF(A235="","",IFERROR(IF(INDEX(Workers!$D$3:$D$51,MATCH(A235,Workers!$A$3:$A$51,0))="Per Day",D235*INDEX(Workers!$E$3:$E$51,MATCH(A235,Workers!$A$3:$A$51,0)),INDEX(Workers!$E$3:$E$51,MATCH(A235,Workers!$A$3:$A$51,0))),"Invalid Worker ID"))</f>
        <v/>
      </c>
      <c r="G235">
        <f>IF(OR(A235="",E235="Invalid Worker ID"),"",E235-F235)</f>
        <v/>
      </c>
      <c r="H235">
        <f>IF(A235="","",IFERROR(INDEX(Workers!$F$3:$F$51,MATCH(A235,Workers!$A$3:$A$51,0)),"Invalid Worker ID"))</f>
        <v/>
      </c>
      <c r="K235">
        <f>A235&amp;"|"&amp;C235</f>
        <v/>
      </c>
    </row>
    <row r="236">
      <c r="B236">
        <f>IF(A236="","",IFERROR(INDEX(Workers!$B$3:$B$51,MATCH(A236,Workers!$A$3:$A$51,0)),"Invalid Worker ID"))</f>
        <v/>
      </c>
      <c r="C236" s="15" t="n"/>
      <c r="E236">
        <f>IF(A236="","",IFERROR(IF(INDEX(Workers!$D$3:$D$51,MATCH(A236,Workers!$A$3:$A$51,0))="Per Day",D236*INDEX(Workers!$E$3:$E$51,MATCH(A236,Workers!$A$3:$A$51,0)),INDEX(Workers!$E$3:$E$51,MATCH(A236,Workers!$A$3:$A$51,0))),"Invalid Worker ID"))</f>
        <v/>
      </c>
      <c r="G236">
        <f>IF(OR(A236="",E236="Invalid Worker ID"),"",E236-F236)</f>
        <v/>
      </c>
      <c r="H236">
        <f>IF(A236="","",IFERROR(INDEX(Workers!$F$3:$F$51,MATCH(A236,Workers!$A$3:$A$51,0)),"Invalid Worker ID"))</f>
        <v/>
      </c>
      <c r="K236">
        <f>A236&amp;"|"&amp;C236</f>
        <v/>
      </c>
    </row>
    <row r="237">
      <c r="B237">
        <f>IF(A237="","",IFERROR(INDEX(Workers!$B$3:$B$51,MATCH(A237,Workers!$A$3:$A$51,0)),"Invalid Worker ID"))</f>
        <v/>
      </c>
      <c r="C237" s="15" t="n"/>
      <c r="E237">
        <f>IF(A237="","",IFERROR(IF(INDEX(Workers!$D$3:$D$51,MATCH(A237,Workers!$A$3:$A$51,0))="Per Day",D237*INDEX(Workers!$E$3:$E$51,MATCH(A237,Workers!$A$3:$A$51,0)),INDEX(Workers!$E$3:$E$51,MATCH(A237,Workers!$A$3:$A$51,0))),"Invalid Worker ID"))</f>
        <v/>
      </c>
      <c r="G237">
        <f>IF(OR(A237="",E237="Invalid Worker ID"),"",E237-F237)</f>
        <v/>
      </c>
      <c r="H237">
        <f>IF(A237="","",IFERROR(INDEX(Workers!$F$3:$F$51,MATCH(A237,Workers!$A$3:$A$51,0)),"Invalid Worker ID"))</f>
        <v/>
      </c>
      <c r="K237">
        <f>A237&amp;"|"&amp;C237</f>
        <v/>
      </c>
    </row>
    <row r="238">
      <c r="B238">
        <f>IF(A238="","",IFERROR(INDEX(Workers!$B$3:$B$51,MATCH(A238,Workers!$A$3:$A$51,0)),"Invalid Worker ID"))</f>
        <v/>
      </c>
      <c r="C238" s="15" t="n"/>
      <c r="E238">
        <f>IF(A238="","",IFERROR(IF(INDEX(Workers!$D$3:$D$51,MATCH(A238,Workers!$A$3:$A$51,0))="Per Day",D238*INDEX(Workers!$E$3:$E$51,MATCH(A238,Workers!$A$3:$A$51,0)),INDEX(Workers!$E$3:$E$51,MATCH(A238,Workers!$A$3:$A$51,0))),"Invalid Worker ID"))</f>
        <v/>
      </c>
      <c r="G238">
        <f>IF(OR(A238="",E238="Invalid Worker ID"),"",E238-F238)</f>
        <v/>
      </c>
      <c r="H238">
        <f>IF(A238="","",IFERROR(INDEX(Workers!$F$3:$F$51,MATCH(A238,Workers!$A$3:$A$51,0)),"Invalid Worker ID"))</f>
        <v/>
      </c>
      <c r="K238">
        <f>A238&amp;"|"&amp;C238</f>
        <v/>
      </c>
    </row>
    <row r="239">
      <c r="B239">
        <f>IF(A239="","",IFERROR(INDEX(Workers!$B$3:$B$51,MATCH(A239,Workers!$A$3:$A$51,0)),"Invalid Worker ID"))</f>
        <v/>
      </c>
      <c r="C239" s="15" t="n"/>
      <c r="E239">
        <f>IF(A239="","",IFERROR(IF(INDEX(Workers!$D$3:$D$51,MATCH(A239,Workers!$A$3:$A$51,0))="Per Day",D239*INDEX(Workers!$E$3:$E$51,MATCH(A239,Workers!$A$3:$A$51,0)),INDEX(Workers!$E$3:$E$51,MATCH(A239,Workers!$A$3:$A$51,0))),"Invalid Worker ID"))</f>
        <v/>
      </c>
      <c r="G239">
        <f>IF(OR(A239="",E239="Invalid Worker ID"),"",E239-F239)</f>
        <v/>
      </c>
      <c r="H239">
        <f>IF(A239="","",IFERROR(INDEX(Workers!$F$3:$F$51,MATCH(A239,Workers!$A$3:$A$51,0)),"Invalid Worker ID"))</f>
        <v/>
      </c>
      <c r="K239">
        <f>A239&amp;"|"&amp;C239</f>
        <v/>
      </c>
    </row>
    <row r="240">
      <c r="B240">
        <f>IF(A240="","",IFERROR(INDEX(Workers!$B$3:$B$51,MATCH(A240,Workers!$A$3:$A$51,0)),"Invalid Worker ID"))</f>
        <v/>
      </c>
      <c r="C240" s="15" t="n"/>
      <c r="E240">
        <f>IF(A240="","",IFERROR(IF(INDEX(Workers!$D$3:$D$51,MATCH(A240,Workers!$A$3:$A$51,0))="Per Day",D240*INDEX(Workers!$E$3:$E$51,MATCH(A240,Workers!$A$3:$A$51,0)),INDEX(Workers!$E$3:$E$51,MATCH(A240,Workers!$A$3:$A$51,0))),"Invalid Worker ID"))</f>
        <v/>
      </c>
      <c r="G240">
        <f>IF(OR(A240="",E240="Invalid Worker ID"),"",E240-F240)</f>
        <v/>
      </c>
      <c r="H240">
        <f>IF(A240="","",IFERROR(INDEX(Workers!$F$3:$F$51,MATCH(A240,Workers!$A$3:$A$51,0)),"Invalid Worker ID"))</f>
        <v/>
      </c>
      <c r="K240">
        <f>A240&amp;"|"&amp;C240</f>
        <v/>
      </c>
    </row>
    <row r="241">
      <c r="B241">
        <f>IF(A241="","",IFERROR(INDEX(Workers!$B$3:$B$51,MATCH(A241,Workers!$A$3:$A$51,0)),"Invalid Worker ID"))</f>
        <v/>
      </c>
      <c r="C241" s="15" t="n"/>
      <c r="E241">
        <f>IF(A241="","",IFERROR(IF(INDEX(Workers!$D$3:$D$51,MATCH(A241,Workers!$A$3:$A$51,0))="Per Day",D241*INDEX(Workers!$E$3:$E$51,MATCH(A241,Workers!$A$3:$A$51,0)),INDEX(Workers!$E$3:$E$51,MATCH(A241,Workers!$A$3:$A$51,0))),"Invalid Worker ID"))</f>
        <v/>
      </c>
      <c r="G241">
        <f>IF(OR(A241="",E241="Invalid Worker ID"),"",E241-F241)</f>
        <v/>
      </c>
      <c r="H241">
        <f>IF(A241="","",IFERROR(INDEX(Workers!$F$3:$F$51,MATCH(A241,Workers!$A$3:$A$51,0)),"Invalid Worker ID"))</f>
        <v/>
      </c>
      <c r="K241">
        <f>A241&amp;"|"&amp;C241</f>
        <v/>
      </c>
    </row>
    <row r="242">
      <c r="B242">
        <f>IF(A242="","",IFERROR(INDEX(Workers!$B$3:$B$51,MATCH(A242,Workers!$A$3:$A$51,0)),"Invalid Worker ID"))</f>
        <v/>
      </c>
      <c r="C242" s="15" t="n"/>
      <c r="E242">
        <f>IF(A242="","",IFERROR(IF(INDEX(Workers!$D$3:$D$51,MATCH(A242,Workers!$A$3:$A$51,0))="Per Day",D242*INDEX(Workers!$E$3:$E$51,MATCH(A242,Workers!$A$3:$A$51,0)),INDEX(Workers!$E$3:$E$51,MATCH(A242,Workers!$A$3:$A$51,0))),"Invalid Worker ID"))</f>
        <v/>
      </c>
      <c r="G242">
        <f>IF(OR(A242="",E242="Invalid Worker ID"),"",E242-F242)</f>
        <v/>
      </c>
      <c r="H242">
        <f>IF(A242="","",IFERROR(INDEX(Workers!$F$3:$F$51,MATCH(A242,Workers!$A$3:$A$51,0)),"Invalid Worker ID"))</f>
        <v/>
      </c>
      <c r="K242">
        <f>A242&amp;"|"&amp;C242</f>
        <v/>
      </c>
    </row>
    <row r="243">
      <c r="B243">
        <f>IF(A243="","",IFERROR(INDEX(Workers!$B$3:$B$51,MATCH(A243,Workers!$A$3:$A$51,0)),"Invalid Worker ID"))</f>
        <v/>
      </c>
      <c r="C243" s="15" t="n"/>
      <c r="E243">
        <f>IF(A243="","",IFERROR(IF(INDEX(Workers!$D$3:$D$51,MATCH(A243,Workers!$A$3:$A$51,0))="Per Day",D243*INDEX(Workers!$E$3:$E$51,MATCH(A243,Workers!$A$3:$A$51,0)),INDEX(Workers!$E$3:$E$51,MATCH(A243,Workers!$A$3:$A$51,0))),"Invalid Worker ID"))</f>
        <v/>
      </c>
      <c r="G243">
        <f>IF(OR(A243="",E243="Invalid Worker ID"),"",E243-F243)</f>
        <v/>
      </c>
      <c r="H243">
        <f>IF(A243="","",IFERROR(INDEX(Workers!$F$3:$F$51,MATCH(A243,Workers!$A$3:$A$51,0)),"Invalid Worker ID"))</f>
        <v/>
      </c>
      <c r="K243">
        <f>A243&amp;"|"&amp;C243</f>
        <v/>
      </c>
    </row>
    <row r="244">
      <c r="B244">
        <f>IF(A244="","",IFERROR(INDEX(Workers!$B$3:$B$51,MATCH(A244,Workers!$A$3:$A$51,0)),"Invalid Worker ID"))</f>
        <v/>
      </c>
      <c r="C244" s="15" t="n"/>
      <c r="E244">
        <f>IF(A244="","",IFERROR(IF(INDEX(Workers!$D$3:$D$51,MATCH(A244,Workers!$A$3:$A$51,0))="Per Day",D244*INDEX(Workers!$E$3:$E$51,MATCH(A244,Workers!$A$3:$A$51,0)),INDEX(Workers!$E$3:$E$51,MATCH(A244,Workers!$A$3:$A$51,0))),"Invalid Worker ID"))</f>
        <v/>
      </c>
      <c r="G244">
        <f>IF(OR(A244="",E244="Invalid Worker ID"),"",E244-F244)</f>
        <v/>
      </c>
      <c r="H244">
        <f>IF(A244="","",IFERROR(INDEX(Workers!$F$3:$F$51,MATCH(A244,Workers!$A$3:$A$51,0)),"Invalid Worker ID"))</f>
        <v/>
      </c>
      <c r="K244">
        <f>A244&amp;"|"&amp;C244</f>
        <v/>
      </c>
    </row>
    <row r="245">
      <c r="B245">
        <f>IF(A245="","",IFERROR(INDEX(Workers!$B$3:$B$51,MATCH(A245,Workers!$A$3:$A$51,0)),"Invalid Worker ID"))</f>
        <v/>
      </c>
      <c r="C245" s="15" t="n"/>
      <c r="E245">
        <f>IF(A245="","",IFERROR(IF(INDEX(Workers!$D$3:$D$51,MATCH(A245,Workers!$A$3:$A$51,0))="Per Day",D245*INDEX(Workers!$E$3:$E$51,MATCH(A245,Workers!$A$3:$A$51,0)),INDEX(Workers!$E$3:$E$51,MATCH(A245,Workers!$A$3:$A$51,0))),"Invalid Worker ID"))</f>
        <v/>
      </c>
      <c r="G245">
        <f>IF(OR(A245="",E245="Invalid Worker ID"),"",E245-F245)</f>
        <v/>
      </c>
      <c r="H245">
        <f>IF(A245="","",IFERROR(INDEX(Workers!$F$3:$F$51,MATCH(A245,Workers!$A$3:$A$51,0)),"Invalid Worker ID"))</f>
        <v/>
      </c>
      <c r="K245">
        <f>A245&amp;"|"&amp;C245</f>
        <v/>
      </c>
    </row>
    <row r="246">
      <c r="B246">
        <f>IF(A246="","",IFERROR(INDEX(Workers!$B$3:$B$51,MATCH(A246,Workers!$A$3:$A$51,0)),"Invalid Worker ID"))</f>
        <v/>
      </c>
      <c r="C246" s="15" t="n"/>
      <c r="E246">
        <f>IF(A246="","",IFERROR(IF(INDEX(Workers!$D$3:$D$51,MATCH(A246,Workers!$A$3:$A$51,0))="Per Day",D246*INDEX(Workers!$E$3:$E$51,MATCH(A246,Workers!$A$3:$A$51,0)),INDEX(Workers!$E$3:$E$51,MATCH(A246,Workers!$A$3:$A$51,0))),"Invalid Worker ID"))</f>
        <v/>
      </c>
      <c r="G246">
        <f>IF(OR(A246="",E246="Invalid Worker ID"),"",E246-F246)</f>
        <v/>
      </c>
      <c r="H246">
        <f>IF(A246="","",IFERROR(INDEX(Workers!$F$3:$F$51,MATCH(A246,Workers!$A$3:$A$51,0)),"Invalid Worker ID"))</f>
        <v/>
      </c>
      <c r="K246">
        <f>A246&amp;"|"&amp;C246</f>
        <v/>
      </c>
    </row>
    <row r="247">
      <c r="B247">
        <f>IF(A247="","",IFERROR(INDEX(Workers!$B$3:$B$51,MATCH(A247,Workers!$A$3:$A$51,0)),"Invalid Worker ID"))</f>
        <v/>
      </c>
      <c r="C247" s="15" t="n"/>
      <c r="E247">
        <f>IF(A247="","",IFERROR(IF(INDEX(Workers!$D$3:$D$51,MATCH(A247,Workers!$A$3:$A$51,0))="Per Day",D247*INDEX(Workers!$E$3:$E$51,MATCH(A247,Workers!$A$3:$A$51,0)),INDEX(Workers!$E$3:$E$51,MATCH(A247,Workers!$A$3:$A$51,0))),"Invalid Worker ID"))</f>
        <v/>
      </c>
      <c r="G247">
        <f>IF(OR(A247="",E247="Invalid Worker ID"),"",E247-F247)</f>
        <v/>
      </c>
      <c r="H247">
        <f>IF(A247="","",IFERROR(INDEX(Workers!$F$3:$F$51,MATCH(A247,Workers!$A$3:$A$51,0)),"Invalid Worker ID"))</f>
        <v/>
      </c>
      <c r="K247">
        <f>A247&amp;"|"&amp;C247</f>
        <v/>
      </c>
    </row>
    <row r="248">
      <c r="B248">
        <f>IF(A248="","",IFERROR(INDEX(Workers!$B$3:$B$51,MATCH(A248,Workers!$A$3:$A$51,0)),"Invalid Worker ID"))</f>
        <v/>
      </c>
      <c r="C248" s="15" t="n"/>
      <c r="E248">
        <f>IF(A248="","",IFERROR(IF(INDEX(Workers!$D$3:$D$51,MATCH(A248,Workers!$A$3:$A$51,0))="Per Day",D248*INDEX(Workers!$E$3:$E$51,MATCH(A248,Workers!$A$3:$A$51,0)),INDEX(Workers!$E$3:$E$51,MATCH(A248,Workers!$A$3:$A$51,0))),"Invalid Worker ID"))</f>
        <v/>
      </c>
      <c r="G248">
        <f>IF(OR(A248="",E248="Invalid Worker ID"),"",E248-F248)</f>
        <v/>
      </c>
      <c r="H248">
        <f>IF(A248="","",IFERROR(INDEX(Workers!$F$3:$F$51,MATCH(A248,Workers!$A$3:$A$51,0)),"Invalid Worker ID"))</f>
        <v/>
      </c>
      <c r="K248">
        <f>A248&amp;"|"&amp;C248</f>
        <v/>
      </c>
    </row>
    <row r="249">
      <c r="B249">
        <f>IF(A249="","",IFERROR(INDEX(Workers!$B$3:$B$51,MATCH(A249,Workers!$A$3:$A$51,0)),"Invalid Worker ID"))</f>
        <v/>
      </c>
      <c r="C249" s="15" t="n"/>
      <c r="E249">
        <f>IF(A249="","",IFERROR(IF(INDEX(Workers!$D$3:$D$51,MATCH(A249,Workers!$A$3:$A$51,0))="Per Day",D249*INDEX(Workers!$E$3:$E$51,MATCH(A249,Workers!$A$3:$A$51,0)),INDEX(Workers!$E$3:$E$51,MATCH(A249,Workers!$A$3:$A$51,0))),"Invalid Worker ID"))</f>
        <v/>
      </c>
      <c r="G249">
        <f>IF(OR(A249="",E249="Invalid Worker ID"),"",E249-F249)</f>
        <v/>
      </c>
      <c r="H249">
        <f>IF(A249="","",IFERROR(INDEX(Workers!$F$3:$F$51,MATCH(A249,Workers!$A$3:$A$51,0)),"Invalid Worker ID"))</f>
        <v/>
      </c>
      <c r="K249">
        <f>A249&amp;"|"&amp;C249</f>
        <v/>
      </c>
    </row>
    <row r="250">
      <c r="B250">
        <f>IF(A250="","",IFERROR(INDEX(Workers!$B$3:$B$51,MATCH(A250,Workers!$A$3:$A$51,0)),"Invalid Worker ID"))</f>
        <v/>
      </c>
      <c r="C250" s="15" t="n"/>
      <c r="E250">
        <f>IF(A250="","",IFERROR(IF(INDEX(Workers!$D$3:$D$51,MATCH(A250,Workers!$A$3:$A$51,0))="Per Day",D250*INDEX(Workers!$E$3:$E$51,MATCH(A250,Workers!$A$3:$A$51,0)),INDEX(Workers!$E$3:$E$51,MATCH(A250,Workers!$A$3:$A$51,0))),"Invalid Worker ID"))</f>
        <v/>
      </c>
      <c r="G250">
        <f>IF(OR(A250="",E250="Invalid Worker ID"),"",E250-F250)</f>
        <v/>
      </c>
      <c r="H250">
        <f>IF(A250="","",IFERROR(INDEX(Workers!$F$3:$F$51,MATCH(A250,Workers!$A$3:$A$51,0)),"Invalid Worker ID"))</f>
        <v/>
      </c>
      <c r="K250">
        <f>A250&amp;"|"&amp;C250</f>
        <v/>
      </c>
    </row>
    <row r="251">
      <c r="B251">
        <f>IF(A251="","",IFERROR(INDEX(Workers!$B$3:$B$51,MATCH(A251,Workers!$A$3:$A$51,0)),"Invalid Worker ID"))</f>
        <v/>
      </c>
      <c r="C251" s="15" t="n"/>
      <c r="E251">
        <f>IF(A251="","",IFERROR(IF(INDEX(Workers!$D$3:$D$51,MATCH(A251,Workers!$A$3:$A$51,0))="Per Day",D251*INDEX(Workers!$E$3:$E$51,MATCH(A251,Workers!$A$3:$A$51,0)),INDEX(Workers!$E$3:$E$51,MATCH(A251,Workers!$A$3:$A$51,0))),"Invalid Worker ID"))</f>
        <v/>
      </c>
      <c r="G251">
        <f>IF(OR(A251="",E251="Invalid Worker ID"),"",E251-F251)</f>
        <v/>
      </c>
      <c r="H251">
        <f>IF(A251="","",IFERROR(INDEX(Workers!$F$3:$F$51,MATCH(A251,Workers!$A$3:$A$51,0)),"Invalid Worker ID"))</f>
        <v/>
      </c>
      <c r="K251">
        <f>A251&amp;"|"&amp;C251</f>
        <v/>
      </c>
    </row>
    <row r="252">
      <c r="B252">
        <f>IF(A252="","",IFERROR(INDEX(Workers!$B$3:$B$51,MATCH(A252,Workers!$A$3:$A$51,0)),"Invalid Worker ID"))</f>
        <v/>
      </c>
      <c r="C252" s="15" t="n"/>
      <c r="E252">
        <f>IF(A252="","",IFERROR(IF(INDEX(Workers!$D$3:$D$51,MATCH(A252,Workers!$A$3:$A$51,0))="Per Day",D252*INDEX(Workers!$E$3:$E$51,MATCH(A252,Workers!$A$3:$A$51,0)),INDEX(Workers!$E$3:$E$51,MATCH(A252,Workers!$A$3:$A$51,0))),"Invalid Worker ID"))</f>
        <v/>
      </c>
      <c r="G252">
        <f>IF(OR(A252="",E252="Invalid Worker ID"),"",E252-F252)</f>
        <v/>
      </c>
      <c r="H252">
        <f>IF(A252="","",IFERROR(INDEX(Workers!$F$3:$F$51,MATCH(A252,Workers!$A$3:$A$51,0)),"Invalid Worker ID"))</f>
        <v/>
      </c>
      <c r="K252">
        <f>A252&amp;"|"&amp;C252</f>
        <v/>
      </c>
    </row>
    <row r="253">
      <c r="B253">
        <f>IF(A253="","",IFERROR(INDEX(Workers!$B$3:$B$51,MATCH(A253,Workers!$A$3:$A$51,0)),"Invalid Worker ID"))</f>
        <v/>
      </c>
      <c r="C253" s="15" t="n"/>
      <c r="E253">
        <f>IF(A253="","",IFERROR(IF(INDEX(Workers!$D$3:$D$51,MATCH(A253,Workers!$A$3:$A$51,0))="Per Day",D253*INDEX(Workers!$E$3:$E$51,MATCH(A253,Workers!$A$3:$A$51,0)),INDEX(Workers!$E$3:$E$51,MATCH(A253,Workers!$A$3:$A$51,0))),"Invalid Worker ID"))</f>
        <v/>
      </c>
      <c r="G253">
        <f>IF(OR(A253="",E253="Invalid Worker ID"),"",E253-F253)</f>
        <v/>
      </c>
      <c r="H253">
        <f>IF(A253="","",IFERROR(INDEX(Workers!$F$3:$F$51,MATCH(A253,Workers!$A$3:$A$51,0)),"Invalid Worker ID"))</f>
        <v/>
      </c>
      <c r="K253">
        <f>A253&amp;"|"&amp;C253</f>
        <v/>
      </c>
    </row>
    <row r="254">
      <c r="B254">
        <f>IF(A254="","",IFERROR(INDEX(Workers!$B$3:$B$51,MATCH(A254,Workers!$A$3:$A$51,0)),"Invalid Worker ID"))</f>
        <v/>
      </c>
      <c r="C254" s="15" t="n"/>
      <c r="E254">
        <f>IF(A254="","",IFERROR(IF(INDEX(Workers!$D$3:$D$51,MATCH(A254,Workers!$A$3:$A$51,0))="Per Day",D254*INDEX(Workers!$E$3:$E$51,MATCH(A254,Workers!$A$3:$A$51,0)),INDEX(Workers!$E$3:$E$51,MATCH(A254,Workers!$A$3:$A$51,0))),"Invalid Worker ID"))</f>
        <v/>
      </c>
      <c r="G254">
        <f>IF(OR(A254="",E254="Invalid Worker ID"),"",E254-F254)</f>
        <v/>
      </c>
      <c r="H254">
        <f>IF(A254="","",IFERROR(INDEX(Workers!$F$3:$F$51,MATCH(A254,Workers!$A$3:$A$51,0)),"Invalid Worker ID"))</f>
        <v/>
      </c>
      <c r="K254">
        <f>A254&amp;"|"&amp;C254</f>
        <v/>
      </c>
    </row>
    <row r="255">
      <c r="B255">
        <f>IF(A255="","",IFERROR(INDEX(Workers!$B$3:$B$51,MATCH(A255,Workers!$A$3:$A$51,0)),"Invalid Worker ID"))</f>
        <v/>
      </c>
      <c r="C255" s="15" t="n"/>
      <c r="E255">
        <f>IF(A255="","",IFERROR(IF(INDEX(Workers!$D$3:$D$51,MATCH(A255,Workers!$A$3:$A$51,0))="Per Day",D255*INDEX(Workers!$E$3:$E$51,MATCH(A255,Workers!$A$3:$A$51,0)),INDEX(Workers!$E$3:$E$51,MATCH(A255,Workers!$A$3:$A$51,0))),"Invalid Worker ID"))</f>
        <v/>
      </c>
      <c r="G255">
        <f>IF(OR(A255="",E255="Invalid Worker ID"),"",E255-F255)</f>
        <v/>
      </c>
      <c r="H255">
        <f>IF(A255="","",IFERROR(INDEX(Workers!$F$3:$F$51,MATCH(A255,Workers!$A$3:$A$51,0)),"Invalid Worker ID"))</f>
        <v/>
      </c>
      <c r="K255">
        <f>A255&amp;"|"&amp;C255</f>
        <v/>
      </c>
    </row>
    <row r="256">
      <c r="B256">
        <f>IF(A256="","",IFERROR(INDEX(Workers!$B$3:$B$51,MATCH(A256,Workers!$A$3:$A$51,0)),"Invalid Worker ID"))</f>
        <v/>
      </c>
      <c r="C256" s="15" t="n"/>
      <c r="E256">
        <f>IF(A256="","",IFERROR(IF(INDEX(Workers!$D$3:$D$51,MATCH(A256,Workers!$A$3:$A$51,0))="Per Day",D256*INDEX(Workers!$E$3:$E$51,MATCH(A256,Workers!$A$3:$A$51,0)),INDEX(Workers!$E$3:$E$51,MATCH(A256,Workers!$A$3:$A$51,0))),"Invalid Worker ID"))</f>
        <v/>
      </c>
      <c r="G256">
        <f>IF(OR(A256="",E256="Invalid Worker ID"),"",E256-F256)</f>
        <v/>
      </c>
      <c r="H256">
        <f>IF(A256="","",IFERROR(INDEX(Workers!$F$3:$F$51,MATCH(A256,Workers!$A$3:$A$51,0)),"Invalid Worker ID"))</f>
        <v/>
      </c>
      <c r="K256">
        <f>A256&amp;"|"&amp;C256</f>
        <v/>
      </c>
    </row>
    <row r="257">
      <c r="B257">
        <f>IF(A257="","",IFERROR(INDEX(Workers!$B$3:$B$51,MATCH(A257,Workers!$A$3:$A$51,0)),"Invalid Worker ID"))</f>
        <v/>
      </c>
      <c r="C257" s="15" t="n"/>
      <c r="E257">
        <f>IF(A257="","",IFERROR(IF(INDEX(Workers!$D$3:$D$51,MATCH(A257,Workers!$A$3:$A$51,0))="Per Day",D257*INDEX(Workers!$E$3:$E$51,MATCH(A257,Workers!$A$3:$A$51,0)),INDEX(Workers!$E$3:$E$51,MATCH(A257,Workers!$A$3:$A$51,0))),"Invalid Worker ID"))</f>
        <v/>
      </c>
      <c r="G257">
        <f>IF(OR(A257="",E257="Invalid Worker ID"),"",E257-F257)</f>
        <v/>
      </c>
      <c r="H257">
        <f>IF(A257="","",IFERROR(INDEX(Workers!$F$3:$F$51,MATCH(A257,Workers!$A$3:$A$51,0)),"Invalid Worker ID"))</f>
        <v/>
      </c>
      <c r="K257">
        <f>A257&amp;"|"&amp;C257</f>
        <v/>
      </c>
    </row>
    <row r="258">
      <c r="B258">
        <f>IF(A258="","",IFERROR(INDEX(Workers!$B$3:$B$51,MATCH(A258,Workers!$A$3:$A$51,0)),"Invalid Worker ID"))</f>
        <v/>
      </c>
      <c r="C258" s="15" t="n"/>
      <c r="E258">
        <f>IF(A258="","",IFERROR(IF(INDEX(Workers!$D$3:$D$51,MATCH(A258,Workers!$A$3:$A$51,0))="Per Day",D258*INDEX(Workers!$E$3:$E$51,MATCH(A258,Workers!$A$3:$A$51,0)),INDEX(Workers!$E$3:$E$51,MATCH(A258,Workers!$A$3:$A$51,0))),"Invalid Worker ID"))</f>
        <v/>
      </c>
      <c r="G258">
        <f>IF(OR(A258="",E258="Invalid Worker ID"),"",E258-F258)</f>
        <v/>
      </c>
      <c r="H258">
        <f>IF(A258="","",IFERROR(INDEX(Workers!$F$3:$F$51,MATCH(A258,Workers!$A$3:$A$51,0)),"Invalid Worker ID"))</f>
        <v/>
      </c>
      <c r="K258">
        <f>A258&amp;"|"&amp;C258</f>
        <v/>
      </c>
    </row>
    <row r="259">
      <c r="B259">
        <f>IF(A259="","",IFERROR(INDEX(Workers!$B$3:$B$51,MATCH(A259,Workers!$A$3:$A$51,0)),"Invalid Worker ID"))</f>
        <v/>
      </c>
      <c r="C259" s="15" t="n"/>
      <c r="E259">
        <f>IF(A259="","",IFERROR(IF(INDEX(Workers!$D$3:$D$51,MATCH(A259,Workers!$A$3:$A$51,0))="Per Day",D259*INDEX(Workers!$E$3:$E$51,MATCH(A259,Workers!$A$3:$A$51,0)),INDEX(Workers!$E$3:$E$51,MATCH(A259,Workers!$A$3:$A$51,0))),"Invalid Worker ID"))</f>
        <v/>
      </c>
      <c r="G259">
        <f>IF(OR(A259="",E259="Invalid Worker ID"),"",E259-F259)</f>
        <v/>
      </c>
      <c r="H259">
        <f>IF(A259="","",IFERROR(INDEX(Workers!$F$3:$F$51,MATCH(A259,Workers!$A$3:$A$51,0)),"Invalid Worker ID"))</f>
        <v/>
      </c>
      <c r="K259">
        <f>A259&amp;"|"&amp;C259</f>
        <v/>
      </c>
    </row>
    <row r="260">
      <c r="B260">
        <f>IF(A260="","",IFERROR(INDEX(Workers!$B$3:$B$51,MATCH(A260,Workers!$A$3:$A$51,0)),"Invalid Worker ID"))</f>
        <v/>
      </c>
      <c r="C260" s="15" t="n"/>
      <c r="E260">
        <f>IF(A260="","",IFERROR(IF(INDEX(Workers!$D$3:$D$51,MATCH(A260,Workers!$A$3:$A$51,0))="Per Day",D260*INDEX(Workers!$E$3:$E$51,MATCH(A260,Workers!$A$3:$A$51,0)),INDEX(Workers!$E$3:$E$51,MATCH(A260,Workers!$A$3:$A$51,0))),"Invalid Worker ID"))</f>
        <v/>
      </c>
      <c r="G260">
        <f>IF(OR(A260="",E260="Invalid Worker ID"),"",E260-F260)</f>
        <v/>
      </c>
      <c r="H260">
        <f>IF(A260="","",IFERROR(INDEX(Workers!$F$3:$F$51,MATCH(A260,Workers!$A$3:$A$51,0)),"Invalid Worker ID"))</f>
        <v/>
      </c>
      <c r="K260">
        <f>A260&amp;"|"&amp;C260</f>
        <v/>
      </c>
    </row>
    <row r="261">
      <c r="B261">
        <f>IF(A261="","",IFERROR(INDEX(Workers!$B$3:$B$51,MATCH(A261,Workers!$A$3:$A$51,0)),"Invalid Worker ID"))</f>
        <v/>
      </c>
      <c r="C261" s="15" t="n"/>
      <c r="E261">
        <f>IF(A261="","",IFERROR(IF(INDEX(Workers!$D$3:$D$51,MATCH(A261,Workers!$A$3:$A$51,0))="Per Day",D261*INDEX(Workers!$E$3:$E$51,MATCH(A261,Workers!$A$3:$A$51,0)),INDEX(Workers!$E$3:$E$51,MATCH(A261,Workers!$A$3:$A$51,0))),"Invalid Worker ID"))</f>
        <v/>
      </c>
      <c r="G261">
        <f>IF(OR(A261="",E261="Invalid Worker ID"),"",E261-F261)</f>
        <v/>
      </c>
      <c r="H261">
        <f>IF(A261="","",IFERROR(INDEX(Workers!$F$3:$F$51,MATCH(A261,Workers!$A$3:$A$51,0)),"Invalid Worker ID"))</f>
        <v/>
      </c>
      <c r="K261">
        <f>A261&amp;"|"&amp;C261</f>
        <v/>
      </c>
    </row>
    <row r="262">
      <c r="B262">
        <f>IF(A262="","",IFERROR(INDEX(Workers!$B$3:$B$51,MATCH(A262,Workers!$A$3:$A$51,0)),"Invalid Worker ID"))</f>
        <v/>
      </c>
      <c r="C262" s="15" t="n"/>
      <c r="E262">
        <f>IF(A262="","",IFERROR(IF(INDEX(Workers!$D$3:$D$51,MATCH(A262,Workers!$A$3:$A$51,0))="Per Day",D262*INDEX(Workers!$E$3:$E$51,MATCH(A262,Workers!$A$3:$A$51,0)),INDEX(Workers!$E$3:$E$51,MATCH(A262,Workers!$A$3:$A$51,0))),"Invalid Worker ID"))</f>
        <v/>
      </c>
      <c r="G262">
        <f>IF(OR(A262="",E262="Invalid Worker ID"),"",E262-F262)</f>
        <v/>
      </c>
      <c r="H262">
        <f>IF(A262="","",IFERROR(INDEX(Workers!$F$3:$F$51,MATCH(A262,Workers!$A$3:$A$51,0)),"Invalid Worker ID"))</f>
        <v/>
      </c>
      <c r="K262">
        <f>A262&amp;"|"&amp;C262</f>
        <v/>
      </c>
    </row>
    <row r="263">
      <c r="B263">
        <f>IF(A263="","",IFERROR(INDEX(Workers!$B$3:$B$51,MATCH(A263,Workers!$A$3:$A$51,0)),"Invalid Worker ID"))</f>
        <v/>
      </c>
      <c r="C263" s="15" t="n"/>
      <c r="E263">
        <f>IF(A263="","",IFERROR(IF(INDEX(Workers!$D$3:$D$51,MATCH(A263,Workers!$A$3:$A$51,0))="Per Day",D263*INDEX(Workers!$E$3:$E$51,MATCH(A263,Workers!$A$3:$A$51,0)),INDEX(Workers!$E$3:$E$51,MATCH(A263,Workers!$A$3:$A$51,0))),"Invalid Worker ID"))</f>
        <v/>
      </c>
      <c r="G263">
        <f>IF(OR(A263="",E263="Invalid Worker ID"),"",E263-F263)</f>
        <v/>
      </c>
      <c r="H263">
        <f>IF(A263="","",IFERROR(INDEX(Workers!$F$3:$F$51,MATCH(A263,Workers!$A$3:$A$51,0)),"Invalid Worker ID"))</f>
        <v/>
      </c>
      <c r="K263">
        <f>A263&amp;"|"&amp;C263</f>
        <v/>
      </c>
    </row>
    <row r="264">
      <c r="B264">
        <f>IF(A264="","",IFERROR(INDEX(Workers!$B$3:$B$51,MATCH(A264,Workers!$A$3:$A$51,0)),"Invalid Worker ID"))</f>
        <v/>
      </c>
      <c r="C264" s="15" t="n"/>
      <c r="E264">
        <f>IF(A264="","",IFERROR(IF(INDEX(Workers!$D$3:$D$51,MATCH(A264,Workers!$A$3:$A$51,0))="Per Day",D264*INDEX(Workers!$E$3:$E$51,MATCH(A264,Workers!$A$3:$A$51,0)),INDEX(Workers!$E$3:$E$51,MATCH(A264,Workers!$A$3:$A$51,0))),"Invalid Worker ID"))</f>
        <v/>
      </c>
      <c r="G264">
        <f>IF(OR(A264="",E264="Invalid Worker ID"),"",E264-F264)</f>
        <v/>
      </c>
      <c r="H264">
        <f>IF(A264="","",IFERROR(INDEX(Workers!$F$3:$F$51,MATCH(A264,Workers!$A$3:$A$51,0)),"Invalid Worker ID"))</f>
        <v/>
      </c>
      <c r="K264">
        <f>A264&amp;"|"&amp;C264</f>
        <v/>
      </c>
    </row>
    <row r="265">
      <c r="B265">
        <f>IF(A265="","",IFERROR(INDEX(Workers!$B$3:$B$51,MATCH(A265,Workers!$A$3:$A$51,0)),"Invalid Worker ID"))</f>
        <v/>
      </c>
      <c r="C265" s="15" t="n"/>
      <c r="E265">
        <f>IF(A265="","",IFERROR(IF(INDEX(Workers!$D$3:$D$51,MATCH(A265,Workers!$A$3:$A$51,0))="Per Day",D265*INDEX(Workers!$E$3:$E$51,MATCH(A265,Workers!$A$3:$A$51,0)),INDEX(Workers!$E$3:$E$51,MATCH(A265,Workers!$A$3:$A$51,0))),"Invalid Worker ID"))</f>
        <v/>
      </c>
      <c r="G265">
        <f>IF(OR(A265="",E265="Invalid Worker ID"),"",E265-F265)</f>
        <v/>
      </c>
      <c r="H265">
        <f>IF(A265="","",IFERROR(INDEX(Workers!$F$3:$F$51,MATCH(A265,Workers!$A$3:$A$51,0)),"Invalid Worker ID"))</f>
        <v/>
      </c>
      <c r="K265">
        <f>A265&amp;"|"&amp;C265</f>
        <v/>
      </c>
    </row>
    <row r="266">
      <c r="B266">
        <f>IF(A266="","",IFERROR(INDEX(Workers!$B$3:$B$51,MATCH(A266,Workers!$A$3:$A$51,0)),"Invalid Worker ID"))</f>
        <v/>
      </c>
      <c r="C266" s="15" t="n"/>
      <c r="E266">
        <f>IF(A266="","",IFERROR(IF(INDEX(Workers!$D$3:$D$51,MATCH(A266,Workers!$A$3:$A$51,0))="Per Day",D266*INDEX(Workers!$E$3:$E$51,MATCH(A266,Workers!$A$3:$A$51,0)),INDEX(Workers!$E$3:$E$51,MATCH(A266,Workers!$A$3:$A$51,0))),"Invalid Worker ID"))</f>
        <v/>
      </c>
      <c r="G266">
        <f>IF(OR(A266="",E266="Invalid Worker ID"),"",E266-F266)</f>
        <v/>
      </c>
      <c r="H266">
        <f>IF(A266="","",IFERROR(INDEX(Workers!$F$3:$F$51,MATCH(A266,Workers!$A$3:$A$51,0)),"Invalid Worker ID"))</f>
        <v/>
      </c>
      <c r="K266">
        <f>A266&amp;"|"&amp;C266</f>
        <v/>
      </c>
    </row>
    <row r="267">
      <c r="B267">
        <f>IF(A267="","",IFERROR(INDEX(Workers!$B$3:$B$51,MATCH(A267,Workers!$A$3:$A$51,0)),"Invalid Worker ID"))</f>
        <v/>
      </c>
      <c r="C267" s="15" t="n"/>
      <c r="E267">
        <f>IF(A267="","",IFERROR(IF(INDEX(Workers!$D$3:$D$51,MATCH(A267,Workers!$A$3:$A$51,0))="Per Day",D267*INDEX(Workers!$E$3:$E$51,MATCH(A267,Workers!$A$3:$A$51,0)),INDEX(Workers!$E$3:$E$51,MATCH(A267,Workers!$A$3:$A$51,0))),"Invalid Worker ID"))</f>
        <v/>
      </c>
      <c r="G267">
        <f>IF(OR(A267="",E267="Invalid Worker ID"),"",E267-F267)</f>
        <v/>
      </c>
      <c r="H267">
        <f>IF(A267="","",IFERROR(INDEX(Workers!$F$3:$F$51,MATCH(A267,Workers!$A$3:$A$51,0)),"Invalid Worker ID"))</f>
        <v/>
      </c>
      <c r="K267">
        <f>A267&amp;"|"&amp;C267</f>
        <v/>
      </c>
    </row>
    <row r="268">
      <c r="B268">
        <f>IF(A268="","",IFERROR(INDEX(Workers!$B$3:$B$51,MATCH(A268,Workers!$A$3:$A$51,0)),"Invalid Worker ID"))</f>
        <v/>
      </c>
      <c r="C268" s="15" t="n"/>
      <c r="E268">
        <f>IF(A268="","",IFERROR(IF(INDEX(Workers!$D$3:$D$51,MATCH(A268,Workers!$A$3:$A$51,0))="Per Day",D268*INDEX(Workers!$E$3:$E$51,MATCH(A268,Workers!$A$3:$A$51,0)),INDEX(Workers!$E$3:$E$51,MATCH(A268,Workers!$A$3:$A$51,0))),"Invalid Worker ID"))</f>
        <v/>
      </c>
      <c r="G268">
        <f>IF(OR(A268="",E268="Invalid Worker ID"),"",E268-F268)</f>
        <v/>
      </c>
      <c r="H268">
        <f>IF(A268="","",IFERROR(INDEX(Workers!$F$3:$F$51,MATCH(A268,Workers!$A$3:$A$51,0)),"Invalid Worker ID"))</f>
        <v/>
      </c>
      <c r="K268">
        <f>A268&amp;"|"&amp;C268</f>
        <v/>
      </c>
    </row>
    <row r="269">
      <c r="B269">
        <f>IF(A269="","",IFERROR(INDEX(Workers!$B$3:$B$51,MATCH(A269,Workers!$A$3:$A$51,0)),"Invalid Worker ID"))</f>
        <v/>
      </c>
      <c r="C269" s="15" t="n"/>
      <c r="E269">
        <f>IF(A269="","",IFERROR(IF(INDEX(Workers!$D$3:$D$51,MATCH(A269,Workers!$A$3:$A$51,0))="Per Day",D269*INDEX(Workers!$E$3:$E$51,MATCH(A269,Workers!$A$3:$A$51,0)),INDEX(Workers!$E$3:$E$51,MATCH(A269,Workers!$A$3:$A$51,0))),"Invalid Worker ID"))</f>
        <v/>
      </c>
      <c r="G269">
        <f>IF(OR(A269="",E269="Invalid Worker ID"),"",E269-F269)</f>
        <v/>
      </c>
      <c r="H269">
        <f>IF(A269="","",IFERROR(INDEX(Workers!$F$3:$F$51,MATCH(A269,Workers!$A$3:$A$51,0)),"Invalid Worker ID"))</f>
        <v/>
      </c>
      <c r="K269">
        <f>A269&amp;"|"&amp;C269</f>
        <v/>
      </c>
    </row>
    <row r="270">
      <c r="B270">
        <f>IF(A270="","",IFERROR(INDEX(Workers!$B$3:$B$51,MATCH(A270,Workers!$A$3:$A$51,0)),"Invalid Worker ID"))</f>
        <v/>
      </c>
      <c r="C270" s="15" t="n"/>
      <c r="E270">
        <f>IF(A270="","",IFERROR(IF(INDEX(Workers!$D$3:$D$51,MATCH(A270,Workers!$A$3:$A$51,0))="Per Day",D270*INDEX(Workers!$E$3:$E$51,MATCH(A270,Workers!$A$3:$A$51,0)),INDEX(Workers!$E$3:$E$51,MATCH(A270,Workers!$A$3:$A$51,0))),"Invalid Worker ID"))</f>
        <v/>
      </c>
      <c r="G270">
        <f>IF(OR(A270="",E270="Invalid Worker ID"),"",E270-F270)</f>
        <v/>
      </c>
      <c r="H270">
        <f>IF(A270="","",IFERROR(INDEX(Workers!$F$3:$F$51,MATCH(A270,Workers!$A$3:$A$51,0)),"Invalid Worker ID"))</f>
        <v/>
      </c>
      <c r="K270">
        <f>A270&amp;"|"&amp;C270</f>
        <v/>
      </c>
    </row>
    <row r="271">
      <c r="B271">
        <f>IF(A271="","",IFERROR(INDEX(Workers!$B$3:$B$51,MATCH(A271,Workers!$A$3:$A$51,0)),"Invalid Worker ID"))</f>
        <v/>
      </c>
      <c r="C271" s="15" t="n"/>
      <c r="E271">
        <f>IF(A271="","",IFERROR(IF(INDEX(Workers!$D$3:$D$51,MATCH(A271,Workers!$A$3:$A$51,0))="Per Day",D271*INDEX(Workers!$E$3:$E$51,MATCH(A271,Workers!$A$3:$A$51,0)),INDEX(Workers!$E$3:$E$51,MATCH(A271,Workers!$A$3:$A$51,0))),"Invalid Worker ID"))</f>
        <v/>
      </c>
      <c r="G271">
        <f>IF(OR(A271="",E271="Invalid Worker ID"),"",E271-F271)</f>
        <v/>
      </c>
      <c r="H271">
        <f>IF(A271="","",IFERROR(INDEX(Workers!$F$3:$F$51,MATCH(A271,Workers!$A$3:$A$51,0)),"Invalid Worker ID"))</f>
        <v/>
      </c>
      <c r="K271">
        <f>A271&amp;"|"&amp;C271</f>
        <v/>
      </c>
    </row>
    <row r="272">
      <c r="B272">
        <f>IF(A272="","",IFERROR(INDEX(Workers!$B$3:$B$51,MATCH(A272,Workers!$A$3:$A$51,0)),"Invalid Worker ID"))</f>
        <v/>
      </c>
      <c r="C272" s="15" t="n"/>
      <c r="E272">
        <f>IF(A272="","",IFERROR(IF(INDEX(Workers!$D$3:$D$51,MATCH(A272,Workers!$A$3:$A$51,0))="Per Day",D272*INDEX(Workers!$E$3:$E$51,MATCH(A272,Workers!$A$3:$A$51,0)),INDEX(Workers!$E$3:$E$51,MATCH(A272,Workers!$A$3:$A$51,0))),"Invalid Worker ID"))</f>
        <v/>
      </c>
      <c r="G272">
        <f>IF(OR(A272="",E272="Invalid Worker ID"),"",E272-F272)</f>
        <v/>
      </c>
      <c r="H272">
        <f>IF(A272="","",IFERROR(INDEX(Workers!$F$3:$F$51,MATCH(A272,Workers!$A$3:$A$51,0)),"Invalid Worker ID"))</f>
        <v/>
      </c>
      <c r="K272">
        <f>A272&amp;"|"&amp;C272</f>
        <v/>
      </c>
    </row>
    <row r="273">
      <c r="B273">
        <f>IF(A273="","",IFERROR(INDEX(Workers!$B$3:$B$51,MATCH(A273,Workers!$A$3:$A$51,0)),"Invalid Worker ID"))</f>
        <v/>
      </c>
      <c r="C273" s="15" t="n"/>
      <c r="E273">
        <f>IF(A273="","",IFERROR(IF(INDEX(Workers!$D$3:$D$51,MATCH(A273,Workers!$A$3:$A$51,0))="Per Day",D273*INDEX(Workers!$E$3:$E$51,MATCH(A273,Workers!$A$3:$A$51,0)),INDEX(Workers!$E$3:$E$51,MATCH(A273,Workers!$A$3:$A$51,0))),"Invalid Worker ID"))</f>
        <v/>
      </c>
      <c r="G273">
        <f>IF(OR(A273="",E273="Invalid Worker ID"),"",E273-F273)</f>
        <v/>
      </c>
      <c r="H273">
        <f>IF(A273="","",IFERROR(INDEX(Workers!$F$3:$F$51,MATCH(A273,Workers!$A$3:$A$51,0)),"Invalid Worker ID"))</f>
        <v/>
      </c>
      <c r="K273">
        <f>A273&amp;"|"&amp;C273</f>
        <v/>
      </c>
    </row>
    <row r="274">
      <c r="B274">
        <f>IF(A274="","",IFERROR(INDEX(Workers!$B$3:$B$51,MATCH(A274,Workers!$A$3:$A$51,0)),"Invalid Worker ID"))</f>
        <v/>
      </c>
      <c r="C274" s="15" t="n"/>
      <c r="E274">
        <f>IF(A274="","",IFERROR(IF(INDEX(Workers!$D$3:$D$51,MATCH(A274,Workers!$A$3:$A$51,0))="Per Day",D274*INDEX(Workers!$E$3:$E$51,MATCH(A274,Workers!$A$3:$A$51,0)),INDEX(Workers!$E$3:$E$51,MATCH(A274,Workers!$A$3:$A$51,0))),"Invalid Worker ID"))</f>
        <v/>
      </c>
      <c r="G274">
        <f>IF(OR(A274="",E274="Invalid Worker ID"),"",E274-F274)</f>
        <v/>
      </c>
      <c r="H274">
        <f>IF(A274="","",IFERROR(INDEX(Workers!$F$3:$F$51,MATCH(A274,Workers!$A$3:$A$51,0)),"Invalid Worker ID"))</f>
        <v/>
      </c>
      <c r="K274">
        <f>A274&amp;"|"&amp;C274</f>
        <v/>
      </c>
    </row>
    <row r="275">
      <c r="B275">
        <f>IF(A275="","",IFERROR(INDEX(Workers!$B$3:$B$51,MATCH(A275,Workers!$A$3:$A$51,0)),"Invalid Worker ID"))</f>
        <v/>
      </c>
      <c r="C275" s="15" t="n"/>
      <c r="E275">
        <f>IF(A275="","",IFERROR(IF(INDEX(Workers!$D$3:$D$51,MATCH(A275,Workers!$A$3:$A$51,0))="Per Day",D275*INDEX(Workers!$E$3:$E$51,MATCH(A275,Workers!$A$3:$A$51,0)),INDEX(Workers!$E$3:$E$51,MATCH(A275,Workers!$A$3:$A$51,0))),"Invalid Worker ID"))</f>
        <v/>
      </c>
      <c r="G275">
        <f>IF(OR(A275="",E275="Invalid Worker ID"),"",E275-F275)</f>
        <v/>
      </c>
      <c r="H275">
        <f>IF(A275="","",IFERROR(INDEX(Workers!$F$3:$F$51,MATCH(A275,Workers!$A$3:$A$51,0)),"Invalid Worker ID"))</f>
        <v/>
      </c>
      <c r="K275">
        <f>A275&amp;"|"&amp;C275</f>
        <v/>
      </c>
    </row>
    <row r="276">
      <c r="B276">
        <f>IF(A276="","",IFERROR(INDEX(Workers!$B$3:$B$51,MATCH(A276,Workers!$A$3:$A$51,0)),"Invalid Worker ID"))</f>
        <v/>
      </c>
      <c r="C276" s="15" t="n"/>
      <c r="E276">
        <f>IF(A276="","",IFERROR(IF(INDEX(Workers!$D$3:$D$51,MATCH(A276,Workers!$A$3:$A$51,0))="Per Day",D276*INDEX(Workers!$E$3:$E$51,MATCH(A276,Workers!$A$3:$A$51,0)),INDEX(Workers!$E$3:$E$51,MATCH(A276,Workers!$A$3:$A$51,0))),"Invalid Worker ID"))</f>
        <v/>
      </c>
      <c r="G276">
        <f>IF(OR(A276="",E276="Invalid Worker ID"),"",E276-F276)</f>
        <v/>
      </c>
      <c r="H276">
        <f>IF(A276="","",IFERROR(INDEX(Workers!$F$3:$F$51,MATCH(A276,Workers!$A$3:$A$51,0)),"Invalid Worker ID"))</f>
        <v/>
      </c>
      <c r="K276">
        <f>A276&amp;"|"&amp;C276</f>
        <v/>
      </c>
    </row>
    <row r="277">
      <c r="B277">
        <f>IF(A277="","",IFERROR(INDEX(Workers!$B$3:$B$51,MATCH(A277,Workers!$A$3:$A$51,0)),"Invalid Worker ID"))</f>
        <v/>
      </c>
      <c r="C277" s="15" t="n"/>
      <c r="E277">
        <f>IF(A277="","",IFERROR(IF(INDEX(Workers!$D$3:$D$51,MATCH(A277,Workers!$A$3:$A$51,0))="Per Day",D277*INDEX(Workers!$E$3:$E$51,MATCH(A277,Workers!$A$3:$A$51,0)),INDEX(Workers!$E$3:$E$51,MATCH(A277,Workers!$A$3:$A$51,0))),"Invalid Worker ID"))</f>
        <v/>
      </c>
      <c r="G277">
        <f>IF(OR(A277="",E277="Invalid Worker ID"),"",E277-F277)</f>
        <v/>
      </c>
      <c r="H277">
        <f>IF(A277="","",IFERROR(INDEX(Workers!$F$3:$F$51,MATCH(A277,Workers!$A$3:$A$51,0)),"Invalid Worker ID"))</f>
        <v/>
      </c>
      <c r="K277">
        <f>A277&amp;"|"&amp;C277</f>
        <v/>
      </c>
    </row>
    <row r="278">
      <c r="B278">
        <f>IF(A278="","",IFERROR(INDEX(Workers!$B$3:$B$51,MATCH(A278,Workers!$A$3:$A$51,0)),"Invalid Worker ID"))</f>
        <v/>
      </c>
      <c r="C278" s="15" t="n"/>
      <c r="E278">
        <f>IF(A278="","",IFERROR(IF(INDEX(Workers!$D$3:$D$51,MATCH(A278,Workers!$A$3:$A$51,0))="Per Day",D278*INDEX(Workers!$E$3:$E$51,MATCH(A278,Workers!$A$3:$A$51,0)),INDEX(Workers!$E$3:$E$51,MATCH(A278,Workers!$A$3:$A$51,0))),"Invalid Worker ID"))</f>
        <v/>
      </c>
      <c r="G278">
        <f>IF(OR(A278="",E278="Invalid Worker ID"),"",E278-F278)</f>
        <v/>
      </c>
      <c r="H278">
        <f>IF(A278="","",IFERROR(INDEX(Workers!$F$3:$F$51,MATCH(A278,Workers!$A$3:$A$51,0)),"Invalid Worker ID"))</f>
        <v/>
      </c>
      <c r="K278">
        <f>A278&amp;"|"&amp;C278</f>
        <v/>
      </c>
    </row>
    <row r="279">
      <c r="B279">
        <f>IF(A279="","",IFERROR(INDEX(Workers!$B$3:$B$51,MATCH(A279,Workers!$A$3:$A$51,0)),"Invalid Worker ID"))</f>
        <v/>
      </c>
      <c r="C279" s="15" t="n"/>
      <c r="E279">
        <f>IF(A279="","",IFERROR(IF(INDEX(Workers!$D$3:$D$51,MATCH(A279,Workers!$A$3:$A$51,0))="Per Day",D279*INDEX(Workers!$E$3:$E$51,MATCH(A279,Workers!$A$3:$A$51,0)),INDEX(Workers!$E$3:$E$51,MATCH(A279,Workers!$A$3:$A$51,0))),"Invalid Worker ID"))</f>
        <v/>
      </c>
      <c r="G279">
        <f>IF(OR(A279="",E279="Invalid Worker ID"),"",E279-F279)</f>
        <v/>
      </c>
      <c r="H279">
        <f>IF(A279="","",IFERROR(INDEX(Workers!$F$3:$F$51,MATCH(A279,Workers!$A$3:$A$51,0)),"Invalid Worker ID"))</f>
        <v/>
      </c>
      <c r="K279">
        <f>A279&amp;"|"&amp;C279</f>
        <v/>
      </c>
    </row>
    <row r="280">
      <c r="B280">
        <f>IF(A280="","",IFERROR(INDEX(Workers!$B$3:$B$51,MATCH(A280,Workers!$A$3:$A$51,0)),"Invalid Worker ID"))</f>
        <v/>
      </c>
      <c r="C280" s="15" t="n"/>
      <c r="E280">
        <f>IF(A280="","",IFERROR(IF(INDEX(Workers!$D$3:$D$51,MATCH(A280,Workers!$A$3:$A$51,0))="Per Day",D280*INDEX(Workers!$E$3:$E$51,MATCH(A280,Workers!$A$3:$A$51,0)),INDEX(Workers!$E$3:$E$51,MATCH(A280,Workers!$A$3:$A$51,0))),"Invalid Worker ID"))</f>
        <v/>
      </c>
      <c r="G280">
        <f>IF(OR(A280="",E280="Invalid Worker ID"),"",E280-F280)</f>
        <v/>
      </c>
      <c r="H280">
        <f>IF(A280="","",IFERROR(INDEX(Workers!$F$3:$F$51,MATCH(A280,Workers!$A$3:$A$51,0)),"Invalid Worker ID"))</f>
        <v/>
      </c>
      <c r="K280">
        <f>A280&amp;"|"&amp;C280</f>
        <v/>
      </c>
    </row>
    <row r="281">
      <c r="B281">
        <f>IF(A281="","",IFERROR(INDEX(Workers!$B$3:$B$51,MATCH(A281,Workers!$A$3:$A$51,0)),"Invalid Worker ID"))</f>
        <v/>
      </c>
      <c r="C281" s="15" t="n"/>
      <c r="E281">
        <f>IF(A281="","",IFERROR(IF(INDEX(Workers!$D$3:$D$51,MATCH(A281,Workers!$A$3:$A$51,0))="Per Day",D281*INDEX(Workers!$E$3:$E$51,MATCH(A281,Workers!$A$3:$A$51,0)),INDEX(Workers!$E$3:$E$51,MATCH(A281,Workers!$A$3:$A$51,0))),"Invalid Worker ID"))</f>
        <v/>
      </c>
      <c r="G281">
        <f>IF(OR(A281="",E281="Invalid Worker ID"),"",E281-F281)</f>
        <v/>
      </c>
      <c r="H281">
        <f>IF(A281="","",IFERROR(INDEX(Workers!$F$3:$F$51,MATCH(A281,Workers!$A$3:$A$51,0)),"Invalid Worker ID"))</f>
        <v/>
      </c>
      <c r="K281">
        <f>A281&amp;"|"&amp;C281</f>
        <v/>
      </c>
    </row>
    <row r="282">
      <c r="B282">
        <f>IF(A282="","",IFERROR(INDEX(Workers!$B$3:$B$51,MATCH(A282,Workers!$A$3:$A$51,0)),"Invalid Worker ID"))</f>
        <v/>
      </c>
      <c r="C282" s="15" t="n"/>
      <c r="E282">
        <f>IF(A282="","",IFERROR(IF(INDEX(Workers!$D$3:$D$51,MATCH(A282,Workers!$A$3:$A$51,0))="Per Day",D282*INDEX(Workers!$E$3:$E$51,MATCH(A282,Workers!$A$3:$A$51,0)),INDEX(Workers!$E$3:$E$51,MATCH(A282,Workers!$A$3:$A$51,0))),"Invalid Worker ID"))</f>
        <v/>
      </c>
      <c r="G282">
        <f>IF(OR(A282="",E282="Invalid Worker ID"),"",E282-F282)</f>
        <v/>
      </c>
      <c r="H282">
        <f>IF(A282="","",IFERROR(INDEX(Workers!$F$3:$F$51,MATCH(A282,Workers!$A$3:$A$51,0)),"Invalid Worker ID"))</f>
        <v/>
      </c>
      <c r="K282">
        <f>A282&amp;"|"&amp;C282</f>
        <v/>
      </c>
    </row>
    <row r="283">
      <c r="B283">
        <f>IF(A283="","",IFERROR(INDEX(Workers!$B$3:$B$51,MATCH(A283,Workers!$A$3:$A$51,0)),"Invalid Worker ID"))</f>
        <v/>
      </c>
      <c r="C283" s="15" t="n"/>
      <c r="E283">
        <f>IF(A283="","",IFERROR(IF(INDEX(Workers!$D$3:$D$51,MATCH(A283,Workers!$A$3:$A$51,0))="Per Day",D283*INDEX(Workers!$E$3:$E$51,MATCH(A283,Workers!$A$3:$A$51,0)),INDEX(Workers!$E$3:$E$51,MATCH(A283,Workers!$A$3:$A$51,0))),"Invalid Worker ID"))</f>
        <v/>
      </c>
      <c r="G283">
        <f>IF(OR(A283="",E283="Invalid Worker ID"),"",E283-F283)</f>
        <v/>
      </c>
      <c r="H283">
        <f>IF(A283="","",IFERROR(INDEX(Workers!$F$3:$F$51,MATCH(A283,Workers!$A$3:$A$51,0)),"Invalid Worker ID"))</f>
        <v/>
      </c>
      <c r="K283">
        <f>A283&amp;"|"&amp;C283</f>
        <v/>
      </c>
    </row>
    <row r="284">
      <c r="B284">
        <f>IF(A284="","",IFERROR(INDEX(Workers!$B$3:$B$51,MATCH(A284,Workers!$A$3:$A$51,0)),"Invalid Worker ID"))</f>
        <v/>
      </c>
      <c r="C284" s="15" t="n"/>
      <c r="E284">
        <f>IF(A284="","",IFERROR(IF(INDEX(Workers!$D$3:$D$51,MATCH(A284,Workers!$A$3:$A$51,0))="Per Day",D284*INDEX(Workers!$E$3:$E$51,MATCH(A284,Workers!$A$3:$A$51,0)),INDEX(Workers!$E$3:$E$51,MATCH(A284,Workers!$A$3:$A$51,0))),"Invalid Worker ID"))</f>
        <v/>
      </c>
      <c r="G284">
        <f>IF(OR(A284="",E284="Invalid Worker ID"),"",E284-F284)</f>
        <v/>
      </c>
      <c r="H284">
        <f>IF(A284="","",IFERROR(INDEX(Workers!$F$3:$F$51,MATCH(A284,Workers!$A$3:$A$51,0)),"Invalid Worker ID"))</f>
        <v/>
      </c>
      <c r="K284">
        <f>A284&amp;"|"&amp;C284</f>
        <v/>
      </c>
    </row>
    <row r="285">
      <c r="B285">
        <f>IF(A285="","",IFERROR(INDEX(Workers!$B$3:$B$51,MATCH(A285,Workers!$A$3:$A$51,0)),"Invalid Worker ID"))</f>
        <v/>
      </c>
      <c r="C285" s="15" t="n"/>
      <c r="E285">
        <f>IF(A285="","",IFERROR(IF(INDEX(Workers!$D$3:$D$51,MATCH(A285,Workers!$A$3:$A$51,0))="Per Day",D285*INDEX(Workers!$E$3:$E$51,MATCH(A285,Workers!$A$3:$A$51,0)),INDEX(Workers!$E$3:$E$51,MATCH(A285,Workers!$A$3:$A$51,0))),"Invalid Worker ID"))</f>
        <v/>
      </c>
      <c r="G285">
        <f>IF(OR(A285="",E285="Invalid Worker ID"),"",E285-F285)</f>
        <v/>
      </c>
      <c r="H285">
        <f>IF(A285="","",IFERROR(INDEX(Workers!$F$3:$F$51,MATCH(A285,Workers!$A$3:$A$51,0)),"Invalid Worker ID"))</f>
        <v/>
      </c>
      <c r="K285">
        <f>A285&amp;"|"&amp;C285</f>
        <v/>
      </c>
    </row>
    <row r="286">
      <c r="B286">
        <f>IF(A286="","",IFERROR(INDEX(Workers!$B$3:$B$51,MATCH(A286,Workers!$A$3:$A$51,0)),"Invalid Worker ID"))</f>
        <v/>
      </c>
      <c r="C286" s="15" t="n"/>
      <c r="E286">
        <f>IF(A286="","",IFERROR(IF(INDEX(Workers!$D$3:$D$51,MATCH(A286,Workers!$A$3:$A$51,0))="Per Day",D286*INDEX(Workers!$E$3:$E$51,MATCH(A286,Workers!$A$3:$A$51,0)),INDEX(Workers!$E$3:$E$51,MATCH(A286,Workers!$A$3:$A$51,0))),"Invalid Worker ID"))</f>
        <v/>
      </c>
      <c r="G286">
        <f>IF(OR(A286="",E286="Invalid Worker ID"),"",E286-F286)</f>
        <v/>
      </c>
      <c r="H286">
        <f>IF(A286="","",IFERROR(INDEX(Workers!$F$3:$F$51,MATCH(A286,Workers!$A$3:$A$51,0)),"Invalid Worker ID"))</f>
        <v/>
      </c>
      <c r="K286">
        <f>A286&amp;"|"&amp;C286</f>
        <v/>
      </c>
    </row>
    <row r="287">
      <c r="B287">
        <f>IF(A287="","",IFERROR(INDEX(Workers!$B$3:$B$51,MATCH(A287,Workers!$A$3:$A$51,0)),"Invalid Worker ID"))</f>
        <v/>
      </c>
      <c r="C287" s="15" t="n"/>
      <c r="E287">
        <f>IF(A287="","",IFERROR(IF(INDEX(Workers!$D$3:$D$51,MATCH(A287,Workers!$A$3:$A$51,0))="Per Day",D287*INDEX(Workers!$E$3:$E$51,MATCH(A287,Workers!$A$3:$A$51,0)),INDEX(Workers!$E$3:$E$51,MATCH(A287,Workers!$A$3:$A$51,0))),"Invalid Worker ID"))</f>
        <v/>
      </c>
      <c r="G287">
        <f>IF(OR(A287="",E287="Invalid Worker ID"),"",E287-F287)</f>
        <v/>
      </c>
      <c r="H287">
        <f>IF(A287="","",IFERROR(INDEX(Workers!$F$3:$F$51,MATCH(A287,Workers!$A$3:$A$51,0)),"Invalid Worker ID"))</f>
        <v/>
      </c>
      <c r="K287">
        <f>A287&amp;"|"&amp;C287</f>
        <v/>
      </c>
    </row>
    <row r="288">
      <c r="B288">
        <f>IF(A288="","",IFERROR(INDEX(Workers!$B$3:$B$51,MATCH(A288,Workers!$A$3:$A$51,0)),"Invalid Worker ID"))</f>
        <v/>
      </c>
      <c r="C288" s="15" t="n"/>
      <c r="E288">
        <f>IF(A288="","",IFERROR(IF(INDEX(Workers!$D$3:$D$51,MATCH(A288,Workers!$A$3:$A$51,0))="Per Day",D288*INDEX(Workers!$E$3:$E$51,MATCH(A288,Workers!$A$3:$A$51,0)),INDEX(Workers!$E$3:$E$51,MATCH(A288,Workers!$A$3:$A$51,0))),"Invalid Worker ID"))</f>
        <v/>
      </c>
      <c r="G288">
        <f>IF(OR(A288="",E288="Invalid Worker ID"),"",E288-F288)</f>
        <v/>
      </c>
      <c r="H288">
        <f>IF(A288="","",IFERROR(INDEX(Workers!$F$3:$F$51,MATCH(A288,Workers!$A$3:$A$51,0)),"Invalid Worker ID"))</f>
        <v/>
      </c>
      <c r="K288">
        <f>A288&amp;"|"&amp;C288</f>
        <v/>
      </c>
    </row>
    <row r="289">
      <c r="B289">
        <f>IF(A289="","",IFERROR(INDEX(Workers!$B$3:$B$51,MATCH(A289,Workers!$A$3:$A$51,0)),"Invalid Worker ID"))</f>
        <v/>
      </c>
      <c r="C289" s="15" t="n"/>
      <c r="E289">
        <f>IF(A289="","",IFERROR(IF(INDEX(Workers!$D$3:$D$51,MATCH(A289,Workers!$A$3:$A$51,0))="Per Day",D289*INDEX(Workers!$E$3:$E$51,MATCH(A289,Workers!$A$3:$A$51,0)),INDEX(Workers!$E$3:$E$51,MATCH(A289,Workers!$A$3:$A$51,0))),"Invalid Worker ID"))</f>
        <v/>
      </c>
      <c r="G289">
        <f>IF(OR(A289="",E289="Invalid Worker ID"),"",E289-F289)</f>
        <v/>
      </c>
      <c r="H289">
        <f>IF(A289="","",IFERROR(INDEX(Workers!$F$3:$F$51,MATCH(A289,Workers!$A$3:$A$51,0)),"Invalid Worker ID"))</f>
        <v/>
      </c>
      <c r="K289">
        <f>A289&amp;"|"&amp;C289</f>
        <v/>
      </c>
    </row>
    <row r="290">
      <c r="B290">
        <f>IF(A290="","",IFERROR(INDEX(Workers!$B$3:$B$51,MATCH(A290,Workers!$A$3:$A$51,0)),"Invalid Worker ID"))</f>
        <v/>
      </c>
      <c r="C290" s="15" t="n"/>
      <c r="E290">
        <f>IF(A290="","",IFERROR(IF(INDEX(Workers!$D$3:$D$51,MATCH(A290,Workers!$A$3:$A$51,0))="Per Day",D290*INDEX(Workers!$E$3:$E$51,MATCH(A290,Workers!$A$3:$A$51,0)),INDEX(Workers!$E$3:$E$51,MATCH(A290,Workers!$A$3:$A$51,0))),"Invalid Worker ID"))</f>
        <v/>
      </c>
      <c r="G290">
        <f>IF(OR(A290="",E290="Invalid Worker ID"),"",E290-F290)</f>
        <v/>
      </c>
      <c r="H290">
        <f>IF(A290="","",IFERROR(INDEX(Workers!$F$3:$F$51,MATCH(A290,Workers!$A$3:$A$51,0)),"Invalid Worker ID"))</f>
        <v/>
      </c>
      <c r="K290">
        <f>A290&amp;"|"&amp;C290</f>
        <v/>
      </c>
    </row>
    <row r="291">
      <c r="B291">
        <f>IF(A291="","",IFERROR(INDEX(Workers!$B$3:$B$51,MATCH(A291,Workers!$A$3:$A$51,0)),"Invalid Worker ID"))</f>
        <v/>
      </c>
      <c r="C291" s="15" t="n"/>
      <c r="E291">
        <f>IF(A291="","",IFERROR(IF(INDEX(Workers!$D$3:$D$51,MATCH(A291,Workers!$A$3:$A$51,0))="Per Day",D291*INDEX(Workers!$E$3:$E$51,MATCH(A291,Workers!$A$3:$A$51,0)),INDEX(Workers!$E$3:$E$51,MATCH(A291,Workers!$A$3:$A$51,0))),"Invalid Worker ID"))</f>
        <v/>
      </c>
      <c r="G291">
        <f>IF(OR(A291="",E291="Invalid Worker ID"),"",E291-F291)</f>
        <v/>
      </c>
      <c r="H291">
        <f>IF(A291="","",IFERROR(INDEX(Workers!$F$3:$F$51,MATCH(A291,Workers!$A$3:$A$51,0)),"Invalid Worker ID"))</f>
        <v/>
      </c>
      <c r="K291">
        <f>A291&amp;"|"&amp;C291</f>
        <v/>
      </c>
    </row>
    <row r="292">
      <c r="B292">
        <f>IF(A292="","",IFERROR(INDEX(Workers!$B$3:$B$51,MATCH(A292,Workers!$A$3:$A$51,0)),"Invalid Worker ID"))</f>
        <v/>
      </c>
      <c r="C292" s="15" t="n"/>
      <c r="E292">
        <f>IF(A292="","",IFERROR(IF(INDEX(Workers!$D$3:$D$51,MATCH(A292,Workers!$A$3:$A$51,0))="Per Day",D292*INDEX(Workers!$E$3:$E$51,MATCH(A292,Workers!$A$3:$A$51,0)),INDEX(Workers!$E$3:$E$51,MATCH(A292,Workers!$A$3:$A$51,0))),"Invalid Worker ID"))</f>
        <v/>
      </c>
      <c r="G292">
        <f>IF(OR(A292="",E292="Invalid Worker ID"),"",E292-F292)</f>
        <v/>
      </c>
      <c r="H292">
        <f>IF(A292="","",IFERROR(INDEX(Workers!$F$3:$F$51,MATCH(A292,Workers!$A$3:$A$51,0)),"Invalid Worker ID"))</f>
        <v/>
      </c>
      <c r="K292">
        <f>A292&amp;"|"&amp;C292</f>
        <v/>
      </c>
    </row>
    <row r="293">
      <c r="B293">
        <f>IF(A293="","",IFERROR(INDEX(Workers!$B$3:$B$51,MATCH(A293,Workers!$A$3:$A$51,0)),"Invalid Worker ID"))</f>
        <v/>
      </c>
      <c r="C293" s="15" t="n"/>
      <c r="E293">
        <f>IF(A293="","",IFERROR(IF(INDEX(Workers!$D$3:$D$51,MATCH(A293,Workers!$A$3:$A$51,0))="Per Day",D293*INDEX(Workers!$E$3:$E$51,MATCH(A293,Workers!$A$3:$A$51,0)),INDEX(Workers!$E$3:$E$51,MATCH(A293,Workers!$A$3:$A$51,0))),"Invalid Worker ID"))</f>
        <v/>
      </c>
      <c r="G293">
        <f>IF(OR(A293="",E293="Invalid Worker ID"),"",E293-F293)</f>
        <v/>
      </c>
      <c r="H293">
        <f>IF(A293="","",IFERROR(INDEX(Workers!$F$3:$F$51,MATCH(A293,Workers!$A$3:$A$51,0)),"Invalid Worker ID"))</f>
        <v/>
      </c>
      <c r="K293">
        <f>A293&amp;"|"&amp;C293</f>
        <v/>
      </c>
    </row>
    <row r="294">
      <c r="B294">
        <f>IF(A294="","",IFERROR(INDEX(Workers!$B$3:$B$51,MATCH(A294,Workers!$A$3:$A$51,0)),"Invalid Worker ID"))</f>
        <v/>
      </c>
      <c r="C294" s="15" t="n"/>
      <c r="E294">
        <f>IF(A294="","",IFERROR(IF(INDEX(Workers!$D$3:$D$51,MATCH(A294,Workers!$A$3:$A$51,0))="Per Day",D294*INDEX(Workers!$E$3:$E$51,MATCH(A294,Workers!$A$3:$A$51,0)),INDEX(Workers!$E$3:$E$51,MATCH(A294,Workers!$A$3:$A$51,0))),"Invalid Worker ID"))</f>
        <v/>
      </c>
      <c r="G294">
        <f>IF(OR(A294="",E294="Invalid Worker ID"),"",E294-F294)</f>
        <v/>
      </c>
      <c r="H294">
        <f>IF(A294="","",IFERROR(INDEX(Workers!$F$3:$F$51,MATCH(A294,Workers!$A$3:$A$51,0)),"Invalid Worker ID"))</f>
        <v/>
      </c>
      <c r="K294">
        <f>A294&amp;"|"&amp;C294</f>
        <v/>
      </c>
    </row>
    <row r="295">
      <c r="B295">
        <f>IF(A295="","",IFERROR(INDEX(Workers!$B$3:$B$51,MATCH(A295,Workers!$A$3:$A$51,0)),"Invalid Worker ID"))</f>
        <v/>
      </c>
      <c r="C295" s="15" t="n"/>
      <c r="E295">
        <f>IF(A295="","",IFERROR(IF(INDEX(Workers!$D$3:$D$51,MATCH(A295,Workers!$A$3:$A$51,0))="Per Day",D295*INDEX(Workers!$E$3:$E$51,MATCH(A295,Workers!$A$3:$A$51,0)),INDEX(Workers!$E$3:$E$51,MATCH(A295,Workers!$A$3:$A$51,0))),"Invalid Worker ID"))</f>
        <v/>
      </c>
      <c r="G295">
        <f>IF(OR(A295="",E295="Invalid Worker ID"),"",E295-F295)</f>
        <v/>
      </c>
      <c r="H295">
        <f>IF(A295="","",IFERROR(INDEX(Workers!$F$3:$F$51,MATCH(A295,Workers!$A$3:$A$51,0)),"Invalid Worker ID"))</f>
        <v/>
      </c>
      <c r="K295">
        <f>A295&amp;"|"&amp;C295</f>
        <v/>
      </c>
    </row>
    <row r="296">
      <c r="B296">
        <f>IF(A296="","",IFERROR(INDEX(Workers!$B$3:$B$51,MATCH(A296,Workers!$A$3:$A$51,0)),"Invalid Worker ID"))</f>
        <v/>
      </c>
      <c r="C296" s="15" t="n"/>
      <c r="E296">
        <f>IF(A296="","",IFERROR(IF(INDEX(Workers!$D$3:$D$51,MATCH(A296,Workers!$A$3:$A$51,0))="Per Day",D296*INDEX(Workers!$E$3:$E$51,MATCH(A296,Workers!$A$3:$A$51,0)),INDEX(Workers!$E$3:$E$51,MATCH(A296,Workers!$A$3:$A$51,0))),"Invalid Worker ID"))</f>
        <v/>
      </c>
      <c r="G296">
        <f>IF(OR(A296="",E296="Invalid Worker ID"),"",E296-F296)</f>
        <v/>
      </c>
      <c r="H296">
        <f>IF(A296="","",IFERROR(INDEX(Workers!$F$3:$F$51,MATCH(A296,Workers!$A$3:$A$51,0)),"Invalid Worker ID"))</f>
        <v/>
      </c>
      <c r="K296">
        <f>A296&amp;"|"&amp;C296</f>
        <v/>
      </c>
    </row>
    <row r="297">
      <c r="B297">
        <f>IF(A297="","",IFERROR(INDEX(Workers!$B$3:$B$51,MATCH(A297,Workers!$A$3:$A$51,0)),"Invalid Worker ID"))</f>
        <v/>
      </c>
      <c r="C297" s="15" t="n"/>
      <c r="E297">
        <f>IF(A297="","",IFERROR(IF(INDEX(Workers!$D$3:$D$51,MATCH(A297,Workers!$A$3:$A$51,0))="Per Day",D297*INDEX(Workers!$E$3:$E$51,MATCH(A297,Workers!$A$3:$A$51,0)),INDEX(Workers!$E$3:$E$51,MATCH(A297,Workers!$A$3:$A$51,0))),"Invalid Worker ID"))</f>
        <v/>
      </c>
      <c r="G297">
        <f>IF(OR(A297="",E297="Invalid Worker ID"),"",E297-F297)</f>
        <v/>
      </c>
      <c r="H297">
        <f>IF(A297="","",IFERROR(INDEX(Workers!$F$3:$F$51,MATCH(A297,Workers!$A$3:$A$51,0)),"Invalid Worker ID"))</f>
        <v/>
      </c>
      <c r="K297">
        <f>A297&amp;"|"&amp;C297</f>
        <v/>
      </c>
    </row>
    <row r="298">
      <c r="B298">
        <f>IF(A298="","",IFERROR(INDEX(Workers!$B$3:$B$51,MATCH(A298,Workers!$A$3:$A$51,0)),"Invalid Worker ID"))</f>
        <v/>
      </c>
      <c r="C298" s="15" t="n"/>
      <c r="E298">
        <f>IF(A298="","",IFERROR(IF(INDEX(Workers!$D$3:$D$51,MATCH(A298,Workers!$A$3:$A$51,0))="Per Day",D298*INDEX(Workers!$E$3:$E$51,MATCH(A298,Workers!$A$3:$A$51,0)),INDEX(Workers!$E$3:$E$51,MATCH(A298,Workers!$A$3:$A$51,0))),"Invalid Worker ID"))</f>
        <v/>
      </c>
      <c r="G298">
        <f>IF(OR(A298="",E298="Invalid Worker ID"),"",E298-F298)</f>
        <v/>
      </c>
      <c r="H298">
        <f>IF(A298="","",IFERROR(INDEX(Workers!$F$3:$F$51,MATCH(A298,Workers!$A$3:$A$51,0)),"Invalid Worker ID"))</f>
        <v/>
      </c>
      <c r="K298">
        <f>A298&amp;"|"&amp;C298</f>
        <v/>
      </c>
    </row>
    <row r="299">
      <c r="B299">
        <f>IF(A299="","",IFERROR(INDEX(Workers!$B$3:$B$51,MATCH(A299,Workers!$A$3:$A$51,0)),"Invalid Worker ID"))</f>
        <v/>
      </c>
      <c r="C299" s="15" t="n"/>
      <c r="E299">
        <f>IF(A299="","",IFERROR(IF(INDEX(Workers!$D$3:$D$51,MATCH(A299,Workers!$A$3:$A$51,0))="Per Day",D299*INDEX(Workers!$E$3:$E$51,MATCH(A299,Workers!$A$3:$A$51,0)),INDEX(Workers!$E$3:$E$51,MATCH(A299,Workers!$A$3:$A$51,0))),"Invalid Worker ID"))</f>
        <v/>
      </c>
      <c r="G299">
        <f>IF(OR(A299="",E299="Invalid Worker ID"),"",E299-F299)</f>
        <v/>
      </c>
      <c r="H299">
        <f>IF(A299="","",IFERROR(INDEX(Workers!$F$3:$F$51,MATCH(A299,Workers!$A$3:$A$51,0)),"Invalid Worker ID"))</f>
        <v/>
      </c>
      <c r="K299">
        <f>A299&amp;"|"&amp;C299</f>
        <v/>
      </c>
    </row>
    <row r="300">
      <c r="B300">
        <f>IF(A300="","",IFERROR(INDEX(Workers!$B$3:$B$51,MATCH(A300,Workers!$A$3:$A$51,0)),"Invalid Worker ID"))</f>
        <v/>
      </c>
      <c r="C300" s="15" t="n"/>
      <c r="E300">
        <f>IF(A300="","",IFERROR(IF(INDEX(Workers!$D$3:$D$51,MATCH(A300,Workers!$A$3:$A$51,0))="Per Day",D300*INDEX(Workers!$E$3:$E$51,MATCH(A300,Workers!$A$3:$A$51,0)),INDEX(Workers!$E$3:$E$51,MATCH(A300,Workers!$A$3:$A$51,0))),"Invalid Worker ID"))</f>
        <v/>
      </c>
      <c r="G300">
        <f>IF(OR(A300="",E300="Invalid Worker ID"),"",E300-F300)</f>
        <v/>
      </c>
      <c r="H300">
        <f>IF(A300="","",IFERROR(INDEX(Workers!$F$3:$F$51,MATCH(A300,Workers!$A$3:$A$51,0)),"Invalid Worker ID"))</f>
        <v/>
      </c>
      <c r="K300">
        <f>A300&amp;"|"&amp;C300</f>
        <v/>
      </c>
    </row>
    <row r="301">
      <c r="B301">
        <f>IF(A301="","",IFERROR(INDEX(Workers!$B$3:$B$51,MATCH(A301,Workers!$A$3:$A$51,0)),"Invalid Worker ID"))</f>
        <v/>
      </c>
      <c r="C301" s="15" t="n"/>
      <c r="E301">
        <f>IF(A301="","",IFERROR(IF(INDEX(Workers!$D$3:$D$51,MATCH(A301,Workers!$A$3:$A$51,0))="Per Day",D301*INDEX(Workers!$E$3:$E$51,MATCH(A301,Workers!$A$3:$A$51,0)),INDEX(Workers!$E$3:$E$51,MATCH(A301,Workers!$A$3:$A$51,0))),"Invalid Worker ID"))</f>
        <v/>
      </c>
      <c r="G301">
        <f>IF(OR(A301="",E301="Invalid Worker ID"),"",E301-F301)</f>
        <v/>
      </c>
      <c r="H301">
        <f>IF(A301="","",IFERROR(INDEX(Workers!$F$3:$F$51,MATCH(A301,Workers!$A$3:$A$51,0)),"Invalid Worker ID"))</f>
        <v/>
      </c>
      <c r="K301">
        <f>A301&amp;"|"&amp;C301</f>
        <v/>
      </c>
    </row>
    <row r="302">
      <c r="B302">
        <f>IF(A302="","",IFERROR(INDEX(Workers!$B$3:$B$51,MATCH(A302,Workers!$A$3:$A$51,0)),"Invalid Worker ID"))</f>
        <v/>
      </c>
      <c r="C302" s="15" t="n"/>
      <c r="E302">
        <f>IF(A302="","",IFERROR(IF(INDEX(Workers!$D$3:$D$51,MATCH(A302,Workers!$A$3:$A$51,0))="Per Day",D302*INDEX(Workers!$E$3:$E$51,MATCH(A302,Workers!$A$3:$A$51,0)),INDEX(Workers!$E$3:$E$51,MATCH(A302,Workers!$A$3:$A$51,0))),"Invalid Worker ID"))</f>
        <v/>
      </c>
      <c r="G302">
        <f>IF(OR(A302="",E302="Invalid Worker ID"),"",E302-F302)</f>
        <v/>
      </c>
      <c r="H302">
        <f>IF(A302="","",IFERROR(INDEX(Workers!$F$3:$F$51,MATCH(A302,Workers!$A$3:$A$51,0)),"Invalid Worker ID"))</f>
        <v/>
      </c>
      <c r="K302">
        <f>A302&amp;"|"&amp;C302</f>
        <v/>
      </c>
    </row>
    <row r="303">
      <c r="B303">
        <f>IF(A303="","",IFERROR(INDEX(Workers!$B$3:$B$51,MATCH(A303,Workers!$A$3:$A$51,0)),"Invalid Worker ID"))</f>
        <v/>
      </c>
      <c r="C303" s="15" t="n"/>
      <c r="E303">
        <f>IF(A303="","",IFERROR(IF(INDEX(Workers!$D$3:$D$51,MATCH(A303,Workers!$A$3:$A$51,0))="Per Day",D303*INDEX(Workers!$E$3:$E$51,MATCH(A303,Workers!$A$3:$A$51,0)),INDEX(Workers!$E$3:$E$51,MATCH(A303,Workers!$A$3:$A$51,0))),"Invalid Worker ID"))</f>
        <v/>
      </c>
      <c r="G303">
        <f>IF(OR(A303="",E303="Invalid Worker ID"),"",E303-F303)</f>
        <v/>
      </c>
      <c r="H303">
        <f>IF(A303="","",IFERROR(INDEX(Workers!$F$3:$F$51,MATCH(A303,Workers!$A$3:$A$51,0)),"Invalid Worker ID"))</f>
        <v/>
      </c>
      <c r="K303">
        <f>A303&amp;"|"&amp;C303</f>
        <v/>
      </c>
    </row>
    <row r="304">
      <c r="B304">
        <f>IF(A304="","",IFERROR(INDEX(Workers!$B$3:$B$51,MATCH(A304,Workers!$A$3:$A$51,0)),"Invalid Worker ID"))</f>
        <v/>
      </c>
      <c r="C304" s="15" t="n"/>
      <c r="E304">
        <f>IF(A304="","",IFERROR(IF(INDEX(Workers!$D$3:$D$51,MATCH(A304,Workers!$A$3:$A$51,0))="Per Day",D304*INDEX(Workers!$E$3:$E$51,MATCH(A304,Workers!$A$3:$A$51,0)),INDEX(Workers!$E$3:$E$51,MATCH(A304,Workers!$A$3:$A$51,0))),"Invalid Worker ID"))</f>
        <v/>
      </c>
      <c r="G304">
        <f>IF(OR(A304="",E304="Invalid Worker ID"),"",E304-F304)</f>
        <v/>
      </c>
      <c r="H304">
        <f>IF(A304="","",IFERROR(INDEX(Workers!$F$3:$F$51,MATCH(A304,Workers!$A$3:$A$51,0)),"Invalid Worker ID"))</f>
        <v/>
      </c>
      <c r="K304">
        <f>A304&amp;"|"&amp;C304</f>
        <v/>
      </c>
    </row>
    <row r="305">
      <c r="B305">
        <f>IF(A305="","",IFERROR(INDEX(Workers!$B$3:$B$51,MATCH(A305,Workers!$A$3:$A$51,0)),"Invalid Worker ID"))</f>
        <v/>
      </c>
      <c r="C305" s="15" t="n"/>
      <c r="E305">
        <f>IF(A305="","",IFERROR(IF(INDEX(Workers!$D$3:$D$51,MATCH(A305,Workers!$A$3:$A$51,0))="Per Day",D305*INDEX(Workers!$E$3:$E$51,MATCH(A305,Workers!$A$3:$A$51,0)),INDEX(Workers!$E$3:$E$51,MATCH(A305,Workers!$A$3:$A$51,0))),"Invalid Worker ID"))</f>
        <v/>
      </c>
      <c r="G305">
        <f>IF(OR(A305="",E305="Invalid Worker ID"),"",E305-F305)</f>
        <v/>
      </c>
      <c r="H305">
        <f>IF(A305="","",IFERROR(INDEX(Workers!$F$3:$F$51,MATCH(A305,Workers!$A$3:$A$51,0)),"Invalid Worker ID"))</f>
        <v/>
      </c>
      <c r="K305">
        <f>A305&amp;"|"&amp;C305</f>
        <v/>
      </c>
    </row>
    <row r="306">
      <c r="B306">
        <f>IF(A306="","",IFERROR(INDEX(Workers!$B$3:$B$51,MATCH(A306,Workers!$A$3:$A$51,0)),"Invalid Worker ID"))</f>
        <v/>
      </c>
      <c r="C306" s="15" t="n"/>
      <c r="E306">
        <f>IF(A306="","",IFERROR(IF(INDEX(Workers!$D$3:$D$51,MATCH(A306,Workers!$A$3:$A$51,0))="Per Day",D306*INDEX(Workers!$E$3:$E$51,MATCH(A306,Workers!$A$3:$A$51,0)),INDEX(Workers!$E$3:$E$51,MATCH(A306,Workers!$A$3:$A$51,0))),"Invalid Worker ID"))</f>
        <v/>
      </c>
      <c r="G306">
        <f>IF(OR(A306="",E306="Invalid Worker ID"),"",E306-F306)</f>
        <v/>
      </c>
      <c r="H306">
        <f>IF(A306="","",IFERROR(INDEX(Workers!$F$3:$F$51,MATCH(A306,Workers!$A$3:$A$51,0)),"Invalid Worker ID"))</f>
        <v/>
      </c>
      <c r="K306">
        <f>A306&amp;"|"&amp;C306</f>
        <v/>
      </c>
    </row>
    <row r="307">
      <c r="B307">
        <f>IF(A307="","",IFERROR(INDEX(Workers!$B$3:$B$51,MATCH(A307,Workers!$A$3:$A$51,0)),"Invalid Worker ID"))</f>
        <v/>
      </c>
      <c r="C307" s="15" t="n"/>
      <c r="E307">
        <f>IF(A307="","",IFERROR(IF(INDEX(Workers!$D$3:$D$51,MATCH(A307,Workers!$A$3:$A$51,0))="Per Day",D307*INDEX(Workers!$E$3:$E$51,MATCH(A307,Workers!$A$3:$A$51,0)),INDEX(Workers!$E$3:$E$51,MATCH(A307,Workers!$A$3:$A$51,0))),"Invalid Worker ID"))</f>
        <v/>
      </c>
      <c r="G307">
        <f>IF(OR(A307="",E307="Invalid Worker ID"),"",E307-F307)</f>
        <v/>
      </c>
      <c r="H307">
        <f>IF(A307="","",IFERROR(INDEX(Workers!$F$3:$F$51,MATCH(A307,Workers!$A$3:$A$51,0)),"Invalid Worker ID"))</f>
        <v/>
      </c>
      <c r="K307">
        <f>A307&amp;"|"&amp;C307</f>
        <v/>
      </c>
    </row>
    <row r="308">
      <c r="B308">
        <f>IF(A308="","",IFERROR(INDEX(Workers!$B$3:$B$51,MATCH(A308,Workers!$A$3:$A$51,0)),"Invalid Worker ID"))</f>
        <v/>
      </c>
      <c r="C308" s="15" t="n"/>
      <c r="E308">
        <f>IF(A308="","",IFERROR(IF(INDEX(Workers!$D$3:$D$51,MATCH(A308,Workers!$A$3:$A$51,0))="Per Day",D308*INDEX(Workers!$E$3:$E$51,MATCH(A308,Workers!$A$3:$A$51,0)),INDEX(Workers!$E$3:$E$51,MATCH(A308,Workers!$A$3:$A$51,0))),"Invalid Worker ID"))</f>
        <v/>
      </c>
      <c r="G308">
        <f>IF(OR(A308="",E308="Invalid Worker ID"),"",E308-F308)</f>
        <v/>
      </c>
      <c r="H308">
        <f>IF(A308="","",IFERROR(INDEX(Workers!$F$3:$F$51,MATCH(A308,Workers!$A$3:$A$51,0)),"Invalid Worker ID"))</f>
        <v/>
      </c>
      <c r="K308">
        <f>A308&amp;"|"&amp;C308</f>
        <v/>
      </c>
    </row>
    <row r="309">
      <c r="B309">
        <f>IF(A309="","",IFERROR(INDEX(Workers!$B$3:$B$51,MATCH(A309,Workers!$A$3:$A$51,0)),"Invalid Worker ID"))</f>
        <v/>
      </c>
      <c r="C309" s="15" t="n"/>
      <c r="E309">
        <f>IF(A309="","",IFERROR(IF(INDEX(Workers!$D$3:$D$51,MATCH(A309,Workers!$A$3:$A$51,0))="Per Day",D309*INDEX(Workers!$E$3:$E$51,MATCH(A309,Workers!$A$3:$A$51,0)),INDEX(Workers!$E$3:$E$51,MATCH(A309,Workers!$A$3:$A$51,0))),"Invalid Worker ID"))</f>
        <v/>
      </c>
      <c r="G309">
        <f>IF(OR(A309="",E309="Invalid Worker ID"),"",E309-F309)</f>
        <v/>
      </c>
      <c r="H309">
        <f>IF(A309="","",IFERROR(INDEX(Workers!$F$3:$F$51,MATCH(A309,Workers!$A$3:$A$51,0)),"Invalid Worker ID"))</f>
        <v/>
      </c>
      <c r="K309">
        <f>A309&amp;"|"&amp;C309</f>
        <v/>
      </c>
    </row>
    <row r="310">
      <c r="B310">
        <f>IF(A310="","",IFERROR(INDEX(Workers!$B$3:$B$51,MATCH(A310,Workers!$A$3:$A$51,0)),"Invalid Worker ID"))</f>
        <v/>
      </c>
      <c r="C310" s="15" t="n"/>
      <c r="E310">
        <f>IF(A310="","",IFERROR(IF(INDEX(Workers!$D$3:$D$51,MATCH(A310,Workers!$A$3:$A$51,0))="Per Day",D310*INDEX(Workers!$E$3:$E$51,MATCH(A310,Workers!$A$3:$A$51,0)),INDEX(Workers!$E$3:$E$51,MATCH(A310,Workers!$A$3:$A$51,0))),"Invalid Worker ID"))</f>
        <v/>
      </c>
      <c r="G310">
        <f>IF(OR(A310="",E310="Invalid Worker ID"),"",E310-F310)</f>
        <v/>
      </c>
      <c r="H310">
        <f>IF(A310="","",IFERROR(INDEX(Workers!$F$3:$F$51,MATCH(A310,Workers!$A$3:$A$51,0)),"Invalid Worker ID"))</f>
        <v/>
      </c>
      <c r="K310">
        <f>A310&amp;"|"&amp;C310</f>
        <v/>
      </c>
    </row>
    <row r="311">
      <c r="B311">
        <f>IF(A311="","",IFERROR(INDEX(Workers!$B$3:$B$51,MATCH(A311,Workers!$A$3:$A$51,0)),"Invalid Worker ID"))</f>
        <v/>
      </c>
      <c r="C311" s="15" t="n"/>
      <c r="E311">
        <f>IF(A311="","",IFERROR(IF(INDEX(Workers!$D$3:$D$51,MATCH(A311,Workers!$A$3:$A$51,0))="Per Day",D311*INDEX(Workers!$E$3:$E$51,MATCH(A311,Workers!$A$3:$A$51,0)),INDEX(Workers!$E$3:$E$51,MATCH(A311,Workers!$A$3:$A$51,0))),"Invalid Worker ID"))</f>
        <v/>
      </c>
      <c r="G311">
        <f>IF(OR(A311="",E311="Invalid Worker ID"),"",E311-F311)</f>
        <v/>
      </c>
      <c r="H311">
        <f>IF(A311="","",IFERROR(INDEX(Workers!$F$3:$F$51,MATCH(A311,Workers!$A$3:$A$51,0)),"Invalid Worker ID"))</f>
        <v/>
      </c>
      <c r="K311">
        <f>A311&amp;"|"&amp;C311</f>
        <v/>
      </c>
    </row>
    <row r="312">
      <c r="B312">
        <f>IF(A312="","",IFERROR(INDEX(Workers!$B$3:$B$51,MATCH(A312,Workers!$A$3:$A$51,0)),"Invalid Worker ID"))</f>
        <v/>
      </c>
      <c r="C312" s="15" t="n"/>
      <c r="E312">
        <f>IF(A312="","",IFERROR(IF(INDEX(Workers!$D$3:$D$51,MATCH(A312,Workers!$A$3:$A$51,0))="Per Day",D312*INDEX(Workers!$E$3:$E$51,MATCH(A312,Workers!$A$3:$A$51,0)),INDEX(Workers!$E$3:$E$51,MATCH(A312,Workers!$A$3:$A$51,0))),"Invalid Worker ID"))</f>
        <v/>
      </c>
      <c r="G312">
        <f>IF(OR(A312="",E312="Invalid Worker ID"),"",E312-F312)</f>
        <v/>
      </c>
      <c r="H312">
        <f>IF(A312="","",IFERROR(INDEX(Workers!$F$3:$F$51,MATCH(A312,Workers!$A$3:$A$51,0)),"Invalid Worker ID"))</f>
        <v/>
      </c>
      <c r="K312">
        <f>A312&amp;"|"&amp;C312</f>
        <v/>
      </c>
    </row>
    <row r="313">
      <c r="B313">
        <f>IF(A313="","",IFERROR(INDEX(Workers!$B$3:$B$51,MATCH(A313,Workers!$A$3:$A$51,0)),"Invalid Worker ID"))</f>
        <v/>
      </c>
      <c r="C313" s="15" t="n"/>
      <c r="E313">
        <f>IF(A313="","",IFERROR(IF(INDEX(Workers!$D$3:$D$51,MATCH(A313,Workers!$A$3:$A$51,0))="Per Day",D313*INDEX(Workers!$E$3:$E$51,MATCH(A313,Workers!$A$3:$A$51,0)),INDEX(Workers!$E$3:$E$51,MATCH(A313,Workers!$A$3:$A$51,0))),"Invalid Worker ID"))</f>
        <v/>
      </c>
      <c r="G313">
        <f>IF(OR(A313="",E313="Invalid Worker ID"),"",E313-F313)</f>
        <v/>
      </c>
      <c r="H313">
        <f>IF(A313="","",IFERROR(INDEX(Workers!$F$3:$F$51,MATCH(A313,Workers!$A$3:$A$51,0)),"Invalid Worker ID"))</f>
        <v/>
      </c>
      <c r="K313">
        <f>A313&amp;"|"&amp;C313</f>
        <v/>
      </c>
    </row>
    <row r="314">
      <c r="B314">
        <f>IF(A314="","",IFERROR(INDEX(Workers!$B$3:$B$51,MATCH(A314,Workers!$A$3:$A$51,0)),"Invalid Worker ID"))</f>
        <v/>
      </c>
      <c r="C314" s="15" t="n"/>
      <c r="E314">
        <f>IF(A314="","",IFERROR(IF(INDEX(Workers!$D$3:$D$51,MATCH(A314,Workers!$A$3:$A$51,0))="Per Day",D314*INDEX(Workers!$E$3:$E$51,MATCH(A314,Workers!$A$3:$A$51,0)),INDEX(Workers!$E$3:$E$51,MATCH(A314,Workers!$A$3:$A$51,0))),"Invalid Worker ID"))</f>
        <v/>
      </c>
      <c r="G314">
        <f>IF(OR(A314="",E314="Invalid Worker ID"),"",E314-F314)</f>
        <v/>
      </c>
      <c r="H314">
        <f>IF(A314="","",IFERROR(INDEX(Workers!$F$3:$F$51,MATCH(A314,Workers!$A$3:$A$51,0)),"Invalid Worker ID"))</f>
        <v/>
      </c>
      <c r="K314">
        <f>A314&amp;"|"&amp;C314</f>
        <v/>
      </c>
    </row>
    <row r="315">
      <c r="B315">
        <f>IF(A315="","",IFERROR(INDEX(Workers!$B$3:$B$51,MATCH(A315,Workers!$A$3:$A$51,0)),"Invalid Worker ID"))</f>
        <v/>
      </c>
      <c r="C315" s="15" t="n"/>
      <c r="E315">
        <f>IF(A315="","",IFERROR(IF(INDEX(Workers!$D$3:$D$51,MATCH(A315,Workers!$A$3:$A$51,0))="Per Day",D315*INDEX(Workers!$E$3:$E$51,MATCH(A315,Workers!$A$3:$A$51,0)),INDEX(Workers!$E$3:$E$51,MATCH(A315,Workers!$A$3:$A$51,0))),"Invalid Worker ID"))</f>
        <v/>
      </c>
      <c r="G315">
        <f>IF(OR(A315="",E315="Invalid Worker ID"),"",E315-F315)</f>
        <v/>
      </c>
      <c r="H315">
        <f>IF(A315="","",IFERROR(INDEX(Workers!$F$3:$F$51,MATCH(A315,Workers!$A$3:$A$51,0)),"Invalid Worker ID"))</f>
        <v/>
      </c>
      <c r="K315">
        <f>A315&amp;"|"&amp;C315</f>
        <v/>
      </c>
    </row>
    <row r="316">
      <c r="B316">
        <f>IF(A316="","",IFERROR(INDEX(Workers!$B$3:$B$51,MATCH(A316,Workers!$A$3:$A$51,0)),"Invalid Worker ID"))</f>
        <v/>
      </c>
      <c r="C316" s="15" t="n"/>
      <c r="E316">
        <f>IF(A316="","",IFERROR(IF(INDEX(Workers!$D$3:$D$51,MATCH(A316,Workers!$A$3:$A$51,0))="Per Day",D316*INDEX(Workers!$E$3:$E$51,MATCH(A316,Workers!$A$3:$A$51,0)),INDEX(Workers!$E$3:$E$51,MATCH(A316,Workers!$A$3:$A$51,0))),"Invalid Worker ID"))</f>
        <v/>
      </c>
      <c r="G316">
        <f>IF(OR(A316="",E316="Invalid Worker ID"),"",E316-F316)</f>
        <v/>
      </c>
      <c r="H316">
        <f>IF(A316="","",IFERROR(INDEX(Workers!$F$3:$F$51,MATCH(A316,Workers!$A$3:$A$51,0)),"Invalid Worker ID"))</f>
        <v/>
      </c>
      <c r="K316">
        <f>A316&amp;"|"&amp;C316</f>
        <v/>
      </c>
    </row>
    <row r="317">
      <c r="B317">
        <f>IF(A317="","",IFERROR(INDEX(Workers!$B$3:$B$51,MATCH(A317,Workers!$A$3:$A$51,0)),"Invalid Worker ID"))</f>
        <v/>
      </c>
      <c r="C317" s="15" t="n"/>
      <c r="E317">
        <f>IF(A317="","",IFERROR(IF(INDEX(Workers!$D$3:$D$51,MATCH(A317,Workers!$A$3:$A$51,0))="Per Day",D317*INDEX(Workers!$E$3:$E$51,MATCH(A317,Workers!$A$3:$A$51,0)),INDEX(Workers!$E$3:$E$51,MATCH(A317,Workers!$A$3:$A$51,0))),"Invalid Worker ID"))</f>
        <v/>
      </c>
      <c r="G317">
        <f>IF(OR(A317="",E317="Invalid Worker ID"),"",E317-F317)</f>
        <v/>
      </c>
      <c r="H317">
        <f>IF(A317="","",IFERROR(INDEX(Workers!$F$3:$F$51,MATCH(A317,Workers!$A$3:$A$51,0)),"Invalid Worker ID"))</f>
        <v/>
      </c>
      <c r="K317">
        <f>A317&amp;"|"&amp;C317</f>
        <v/>
      </c>
    </row>
    <row r="318">
      <c r="B318">
        <f>IF(A318="","",IFERROR(INDEX(Workers!$B$3:$B$51,MATCH(A318,Workers!$A$3:$A$51,0)),"Invalid Worker ID"))</f>
        <v/>
      </c>
      <c r="C318" s="15" t="n"/>
      <c r="E318">
        <f>IF(A318="","",IFERROR(IF(INDEX(Workers!$D$3:$D$51,MATCH(A318,Workers!$A$3:$A$51,0))="Per Day",D318*INDEX(Workers!$E$3:$E$51,MATCH(A318,Workers!$A$3:$A$51,0)),INDEX(Workers!$E$3:$E$51,MATCH(A318,Workers!$A$3:$A$51,0))),"Invalid Worker ID"))</f>
        <v/>
      </c>
      <c r="G318">
        <f>IF(OR(A318="",E318="Invalid Worker ID"),"",E318-F318)</f>
        <v/>
      </c>
      <c r="H318">
        <f>IF(A318="","",IFERROR(INDEX(Workers!$F$3:$F$51,MATCH(A318,Workers!$A$3:$A$51,0)),"Invalid Worker ID"))</f>
        <v/>
      </c>
      <c r="K318">
        <f>A318&amp;"|"&amp;C318</f>
        <v/>
      </c>
    </row>
    <row r="319">
      <c r="B319">
        <f>IF(A319="","",IFERROR(INDEX(Workers!$B$3:$B$51,MATCH(A319,Workers!$A$3:$A$51,0)),"Invalid Worker ID"))</f>
        <v/>
      </c>
      <c r="C319" s="15" t="n"/>
      <c r="E319">
        <f>IF(A319="","",IFERROR(IF(INDEX(Workers!$D$3:$D$51,MATCH(A319,Workers!$A$3:$A$51,0))="Per Day",D319*INDEX(Workers!$E$3:$E$51,MATCH(A319,Workers!$A$3:$A$51,0)),INDEX(Workers!$E$3:$E$51,MATCH(A319,Workers!$A$3:$A$51,0))),"Invalid Worker ID"))</f>
        <v/>
      </c>
      <c r="G319">
        <f>IF(OR(A319="",E319="Invalid Worker ID"),"",E319-F319)</f>
        <v/>
      </c>
      <c r="H319">
        <f>IF(A319="","",IFERROR(INDEX(Workers!$F$3:$F$51,MATCH(A319,Workers!$A$3:$A$51,0)),"Invalid Worker ID"))</f>
        <v/>
      </c>
      <c r="K319">
        <f>A319&amp;"|"&amp;C319</f>
        <v/>
      </c>
    </row>
    <row r="320">
      <c r="B320">
        <f>IF(A320="","",IFERROR(INDEX(Workers!$B$3:$B$51,MATCH(A320,Workers!$A$3:$A$51,0)),"Invalid Worker ID"))</f>
        <v/>
      </c>
      <c r="C320" s="15" t="n"/>
      <c r="E320">
        <f>IF(A320="","",IFERROR(IF(INDEX(Workers!$D$3:$D$51,MATCH(A320,Workers!$A$3:$A$51,0))="Per Day",D320*INDEX(Workers!$E$3:$E$51,MATCH(A320,Workers!$A$3:$A$51,0)),INDEX(Workers!$E$3:$E$51,MATCH(A320,Workers!$A$3:$A$51,0))),"Invalid Worker ID"))</f>
        <v/>
      </c>
      <c r="G320">
        <f>IF(OR(A320="",E320="Invalid Worker ID"),"",E320-F320)</f>
        <v/>
      </c>
      <c r="H320">
        <f>IF(A320="","",IFERROR(INDEX(Workers!$F$3:$F$51,MATCH(A320,Workers!$A$3:$A$51,0)),"Invalid Worker ID"))</f>
        <v/>
      </c>
      <c r="K320">
        <f>A320&amp;"|"&amp;C320</f>
        <v/>
      </c>
    </row>
    <row r="321">
      <c r="B321">
        <f>IF(A321="","",IFERROR(INDEX(Workers!$B$3:$B$51,MATCH(A321,Workers!$A$3:$A$51,0)),"Invalid Worker ID"))</f>
        <v/>
      </c>
      <c r="C321" s="15" t="n"/>
      <c r="E321">
        <f>IF(A321="","",IFERROR(IF(INDEX(Workers!$D$3:$D$51,MATCH(A321,Workers!$A$3:$A$51,0))="Per Day",D321*INDEX(Workers!$E$3:$E$51,MATCH(A321,Workers!$A$3:$A$51,0)),INDEX(Workers!$E$3:$E$51,MATCH(A321,Workers!$A$3:$A$51,0))),"Invalid Worker ID"))</f>
        <v/>
      </c>
      <c r="G321">
        <f>IF(OR(A321="",E321="Invalid Worker ID"),"",E321-F321)</f>
        <v/>
      </c>
      <c r="H321">
        <f>IF(A321="","",IFERROR(INDEX(Workers!$F$3:$F$51,MATCH(A321,Workers!$A$3:$A$51,0)),"Invalid Worker ID"))</f>
        <v/>
      </c>
      <c r="K321">
        <f>A321&amp;"|"&amp;C321</f>
        <v/>
      </c>
    </row>
    <row r="322">
      <c r="B322">
        <f>IF(A322="","",IFERROR(INDEX(Workers!$B$3:$B$51,MATCH(A322,Workers!$A$3:$A$51,0)),"Invalid Worker ID"))</f>
        <v/>
      </c>
      <c r="C322" s="15" t="n"/>
      <c r="E322">
        <f>IF(A322="","",IFERROR(IF(INDEX(Workers!$D$3:$D$51,MATCH(A322,Workers!$A$3:$A$51,0))="Per Day",D322*INDEX(Workers!$E$3:$E$51,MATCH(A322,Workers!$A$3:$A$51,0)),INDEX(Workers!$E$3:$E$51,MATCH(A322,Workers!$A$3:$A$51,0))),"Invalid Worker ID"))</f>
        <v/>
      </c>
      <c r="G322">
        <f>IF(OR(A322="",E322="Invalid Worker ID"),"",E322-F322)</f>
        <v/>
      </c>
      <c r="H322">
        <f>IF(A322="","",IFERROR(INDEX(Workers!$F$3:$F$51,MATCH(A322,Workers!$A$3:$A$51,0)),"Invalid Worker ID"))</f>
        <v/>
      </c>
      <c r="K322">
        <f>A322&amp;"|"&amp;C322</f>
        <v/>
      </c>
    </row>
    <row r="323">
      <c r="B323">
        <f>IF(A323="","",IFERROR(INDEX(Workers!$B$3:$B$51,MATCH(A323,Workers!$A$3:$A$51,0)),"Invalid Worker ID"))</f>
        <v/>
      </c>
      <c r="C323" s="15" t="n"/>
      <c r="E323">
        <f>IF(A323="","",IFERROR(IF(INDEX(Workers!$D$3:$D$51,MATCH(A323,Workers!$A$3:$A$51,0))="Per Day",D323*INDEX(Workers!$E$3:$E$51,MATCH(A323,Workers!$A$3:$A$51,0)),INDEX(Workers!$E$3:$E$51,MATCH(A323,Workers!$A$3:$A$51,0))),"Invalid Worker ID"))</f>
        <v/>
      </c>
      <c r="G323">
        <f>IF(OR(A323="",E323="Invalid Worker ID"),"",E323-F323)</f>
        <v/>
      </c>
      <c r="H323">
        <f>IF(A323="","",IFERROR(INDEX(Workers!$F$3:$F$51,MATCH(A323,Workers!$A$3:$A$51,0)),"Invalid Worker ID"))</f>
        <v/>
      </c>
      <c r="K323">
        <f>A323&amp;"|"&amp;C323</f>
        <v/>
      </c>
    </row>
    <row r="324">
      <c r="B324">
        <f>IF(A324="","",IFERROR(INDEX(Workers!$B$3:$B$51,MATCH(A324,Workers!$A$3:$A$51,0)),"Invalid Worker ID"))</f>
        <v/>
      </c>
      <c r="C324" s="15" t="n"/>
      <c r="E324">
        <f>IF(A324="","",IFERROR(IF(INDEX(Workers!$D$3:$D$51,MATCH(A324,Workers!$A$3:$A$51,0))="Per Day",D324*INDEX(Workers!$E$3:$E$51,MATCH(A324,Workers!$A$3:$A$51,0)),INDEX(Workers!$E$3:$E$51,MATCH(A324,Workers!$A$3:$A$51,0))),"Invalid Worker ID"))</f>
        <v/>
      </c>
      <c r="G324">
        <f>IF(OR(A324="",E324="Invalid Worker ID"),"",E324-F324)</f>
        <v/>
      </c>
      <c r="H324">
        <f>IF(A324="","",IFERROR(INDEX(Workers!$F$3:$F$51,MATCH(A324,Workers!$A$3:$A$51,0)),"Invalid Worker ID"))</f>
        <v/>
      </c>
      <c r="K324">
        <f>A324&amp;"|"&amp;C324</f>
        <v/>
      </c>
    </row>
    <row r="325">
      <c r="B325">
        <f>IF(A325="","",IFERROR(INDEX(Workers!$B$3:$B$51,MATCH(A325,Workers!$A$3:$A$51,0)),"Invalid Worker ID"))</f>
        <v/>
      </c>
      <c r="C325" s="15" t="n"/>
      <c r="E325">
        <f>IF(A325="","",IFERROR(IF(INDEX(Workers!$D$3:$D$51,MATCH(A325,Workers!$A$3:$A$51,0))="Per Day",D325*INDEX(Workers!$E$3:$E$51,MATCH(A325,Workers!$A$3:$A$51,0)),INDEX(Workers!$E$3:$E$51,MATCH(A325,Workers!$A$3:$A$51,0))),"Invalid Worker ID"))</f>
        <v/>
      </c>
      <c r="G325">
        <f>IF(OR(A325="",E325="Invalid Worker ID"),"",E325-F325)</f>
        <v/>
      </c>
      <c r="H325">
        <f>IF(A325="","",IFERROR(INDEX(Workers!$F$3:$F$51,MATCH(A325,Workers!$A$3:$A$51,0)),"Invalid Worker ID"))</f>
        <v/>
      </c>
      <c r="K325">
        <f>A325&amp;"|"&amp;C325</f>
        <v/>
      </c>
    </row>
    <row r="326">
      <c r="B326">
        <f>IF(A326="","",IFERROR(INDEX(Workers!$B$3:$B$51,MATCH(A326,Workers!$A$3:$A$51,0)),"Invalid Worker ID"))</f>
        <v/>
      </c>
      <c r="C326" s="15" t="n"/>
      <c r="E326">
        <f>IF(A326="","",IFERROR(IF(INDEX(Workers!$D$3:$D$51,MATCH(A326,Workers!$A$3:$A$51,0))="Per Day",D326*INDEX(Workers!$E$3:$E$51,MATCH(A326,Workers!$A$3:$A$51,0)),INDEX(Workers!$E$3:$E$51,MATCH(A326,Workers!$A$3:$A$51,0))),"Invalid Worker ID"))</f>
        <v/>
      </c>
      <c r="G326">
        <f>IF(OR(A326="",E326="Invalid Worker ID"),"",E326-F326)</f>
        <v/>
      </c>
      <c r="H326">
        <f>IF(A326="","",IFERROR(INDEX(Workers!$F$3:$F$51,MATCH(A326,Workers!$A$3:$A$51,0)),"Invalid Worker ID"))</f>
        <v/>
      </c>
      <c r="K326">
        <f>A326&amp;"|"&amp;C326</f>
        <v/>
      </c>
    </row>
    <row r="327">
      <c r="B327">
        <f>IF(A327="","",IFERROR(INDEX(Workers!$B$3:$B$51,MATCH(A327,Workers!$A$3:$A$51,0)),"Invalid Worker ID"))</f>
        <v/>
      </c>
      <c r="C327" s="15" t="n"/>
      <c r="E327">
        <f>IF(A327="","",IFERROR(IF(INDEX(Workers!$D$3:$D$51,MATCH(A327,Workers!$A$3:$A$51,0))="Per Day",D327*INDEX(Workers!$E$3:$E$51,MATCH(A327,Workers!$A$3:$A$51,0)),INDEX(Workers!$E$3:$E$51,MATCH(A327,Workers!$A$3:$A$51,0))),"Invalid Worker ID"))</f>
        <v/>
      </c>
      <c r="G327">
        <f>IF(OR(A327="",E327="Invalid Worker ID"),"",E327-F327)</f>
        <v/>
      </c>
      <c r="H327">
        <f>IF(A327="","",IFERROR(INDEX(Workers!$F$3:$F$51,MATCH(A327,Workers!$A$3:$A$51,0)),"Invalid Worker ID"))</f>
        <v/>
      </c>
      <c r="K327">
        <f>A327&amp;"|"&amp;C327</f>
        <v/>
      </c>
    </row>
    <row r="328">
      <c r="B328">
        <f>IF(A328="","",IFERROR(INDEX(Workers!$B$3:$B$51,MATCH(A328,Workers!$A$3:$A$51,0)),"Invalid Worker ID"))</f>
        <v/>
      </c>
      <c r="C328" s="15" t="n"/>
      <c r="E328">
        <f>IF(A328="","",IFERROR(IF(INDEX(Workers!$D$3:$D$51,MATCH(A328,Workers!$A$3:$A$51,0))="Per Day",D328*INDEX(Workers!$E$3:$E$51,MATCH(A328,Workers!$A$3:$A$51,0)),INDEX(Workers!$E$3:$E$51,MATCH(A328,Workers!$A$3:$A$51,0))),"Invalid Worker ID"))</f>
        <v/>
      </c>
      <c r="G328">
        <f>IF(OR(A328="",E328="Invalid Worker ID"),"",E328-F328)</f>
        <v/>
      </c>
      <c r="H328">
        <f>IF(A328="","",IFERROR(INDEX(Workers!$F$3:$F$51,MATCH(A328,Workers!$A$3:$A$51,0)),"Invalid Worker ID"))</f>
        <v/>
      </c>
      <c r="K328">
        <f>A328&amp;"|"&amp;C328</f>
        <v/>
      </c>
    </row>
    <row r="329">
      <c r="B329">
        <f>IF(A329="","",IFERROR(INDEX(Workers!$B$3:$B$51,MATCH(A329,Workers!$A$3:$A$51,0)),"Invalid Worker ID"))</f>
        <v/>
      </c>
      <c r="C329" s="15" t="n"/>
      <c r="E329">
        <f>IF(A329="","",IFERROR(IF(INDEX(Workers!$D$3:$D$51,MATCH(A329,Workers!$A$3:$A$51,0))="Per Day",D329*INDEX(Workers!$E$3:$E$51,MATCH(A329,Workers!$A$3:$A$51,0)),INDEX(Workers!$E$3:$E$51,MATCH(A329,Workers!$A$3:$A$51,0))),"Invalid Worker ID"))</f>
        <v/>
      </c>
      <c r="G329">
        <f>IF(OR(A329="",E329="Invalid Worker ID"),"",E329-F329)</f>
        <v/>
      </c>
      <c r="H329">
        <f>IF(A329="","",IFERROR(INDEX(Workers!$F$3:$F$51,MATCH(A329,Workers!$A$3:$A$51,0)),"Invalid Worker ID"))</f>
        <v/>
      </c>
      <c r="K329">
        <f>A329&amp;"|"&amp;C329</f>
        <v/>
      </c>
    </row>
    <row r="330">
      <c r="B330">
        <f>IF(A330="","",IFERROR(INDEX(Workers!$B$3:$B$51,MATCH(A330,Workers!$A$3:$A$51,0)),"Invalid Worker ID"))</f>
        <v/>
      </c>
      <c r="C330" s="15" t="n"/>
      <c r="E330">
        <f>IF(A330="","",IFERROR(IF(INDEX(Workers!$D$3:$D$51,MATCH(A330,Workers!$A$3:$A$51,0))="Per Day",D330*INDEX(Workers!$E$3:$E$51,MATCH(A330,Workers!$A$3:$A$51,0)),INDEX(Workers!$E$3:$E$51,MATCH(A330,Workers!$A$3:$A$51,0))),"Invalid Worker ID"))</f>
        <v/>
      </c>
      <c r="G330">
        <f>IF(OR(A330="",E330="Invalid Worker ID"),"",E330-F330)</f>
        <v/>
      </c>
      <c r="H330">
        <f>IF(A330="","",IFERROR(INDEX(Workers!$F$3:$F$51,MATCH(A330,Workers!$A$3:$A$51,0)),"Invalid Worker ID"))</f>
        <v/>
      </c>
      <c r="K330">
        <f>A330&amp;"|"&amp;C330</f>
        <v/>
      </c>
    </row>
    <row r="331">
      <c r="B331">
        <f>IF(A331="","",IFERROR(INDEX(Workers!$B$3:$B$51,MATCH(A331,Workers!$A$3:$A$51,0)),"Invalid Worker ID"))</f>
        <v/>
      </c>
      <c r="C331" s="15" t="n"/>
      <c r="E331">
        <f>IF(A331="","",IFERROR(IF(INDEX(Workers!$D$3:$D$51,MATCH(A331,Workers!$A$3:$A$51,0))="Per Day",D331*INDEX(Workers!$E$3:$E$51,MATCH(A331,Workers!$A$3:$A$51,0)),INDEX(Workers!$E$3:$E$51,MATCH(A331,Workers!$A$3:$A$51,0))),"Invalid Worker ID"))</f>
        <v/>
      </c>
      <c r="G331">
        <f>IF(OR(A331="",E331="Invalid Worker ID"),"",E331-F331)</f>
        <v/>
      </c>
      <c r="H331">
        <f>IF(A331="","",IFERROR(INDEX(Workers!$F$3:$F$51,MATCH(A331,Workers!$A$3:$A$51,0)),"Invalid Worker ID"))</f>
        <v/>
      </c>
      <c r="K331">
        <f>A331&amp;"|"&amp;C331</f>
        <v/>
      </c>
    </row>
    <row r="332">
      <c r="B332">
        <f>IF(A332="","",IFERROR(INDEX(Workers!$B$3:$B$51,MATCH(A332,Workers!$A$3:$A$51,0)),"Invalid Worker ID"))</f>
        <v/>
      </c>
      <c r="C332" s="15" t="n"/>
      <c r="E332">
        <f>IF(A332="","",IFERROR(IF(INDEX(Workers!$D$3:$D$51,MATCH(A332,Workers!$A$3:$A$51,0))="Per Day",D332*INDEX(Workers!$E$3:$E$51,MATCH(A332,Workers!$A$3:$A$51,0)),INDEX(Workers!$E$3:$E$51,MATCH(A332,Workers!$A$3:$A$51,0))),"Invalid Worker ID"))</f>
        <v/>
      </c>
      <c r="G332">
        <f>IF(OR(A332="",E332="Invalid Worker ID"),"",E332-F332)</f>
        <v/>
      </c>
      <c r="H332">
        <f>IF(A332="","",IFERROR(INDEX(Workers!$F$3:$F$51,MATCH(A332,Workers!$A$3:$A$51,0)),"Invalid Worker ID"))</f>
        <v/>
      </c>
      <c r="K332">
        <f>A332&amp;"|"&amp;C332</f>
        <v/>
      </c>
    </row>
    <row r="333">
      <c r="B333">
        <f>IF(A333="","",IFERROR(INDEX(Workers!$B$3:$B$51,MATCH(A333,Workers!$A$3:$A$51,0)),"Invalid Worker ID"))</f>
        <v/>
      </c>
      <c r="C333" s="15" t="n"/>
      <c r="E333">
        <f>IF(A333="","",IFERROR(IF(INDEX(Workers!$D$3:$D$51,MATCH(A333,Workers!$A$3:$A$51,0))="Per Day",D333*INDEX(Workers!$E$3:$E$51,MATCH(A333,Workers!$A$3:$A$51,0)),INDEX(Workers!$E$3:$E$51,MATCH(A333,Workers!$A$3:$A$51,0))),"Invalid Worker ID"))</f>
        <v/>
      </c>
      <c r="G333">
        <f>IF(OR(A333="",E333="Invalid Worker ID"),"",E333-F333)</f>
        <v/>
      </c>
      <c r="H333">
        <f>IF(A333="","",IFERROR(INDEX(Workers!$F$3:$F$51,MATCH(A333,Workers!$A$3:$A$51,0)),"Invalid Worker ID"))</f>
        <v/>
      </c>
      <c r="K333">
        <f>A333&amp;"|"&amp;C333</f>
        <v/>
      </c>
    </row>
    <row r="334">
      <c r="B334">
        <f>IF(A334="","",IFERROR(INDEX(Workers!$B$3:$B$51,MATCH(A334,Workers!$A$3:$A$51,0)),"Invalid Worker ID"))</f>
        <v/>
      </c>
      <c r="C334" s="15" t="n"/>
      <c r="E334">
        <f>IF(A334="","",IFERROR(IF(INDEX(Workers!$D$3:$D$51,MATCH(A334,Workers!$A$3:$A$51,0))="Per Day",D334*INDEX(Workers!$E$3:$E$51,MATCH(A334,Workers!$A$3:$A$51,0)),INDEX(Workers!$E$3:$E$51,MATCH(A334,Workers!$A$3:$A$51,0))),"Invalid Worker ID"))</f>
        <v/>
      </c>
      <c r="G334">
        <f>IF(OR(A334="",E334="Invalid Worker ID"),"",E334-F334)</f>
        <v/>
      </c>
      <c r="H334">
        <f>IF(A334="","",IFERROR(INDEX(Workers!$F$3:$F$51,MATCH(A334,Workers!$A$3:$A$51,0)),"Invalid Worker ID"))</f>
        <v/>
      </c>
      <c r="K334">
        <f>A334&amp;"|"&amp;C334</f>
        <v/>
      </c>
    </row>
    <row r="335">
      <c r="B335">
        <f>IF(A335="","",IFERROR(INDEX(Workers!$B$3:$B$51,MATCH(A335,Workers!$A$3:$A$51,0)),"Invalid Worker ID"))</f>
        <v/>
      </c>
      <c r="C335" s="15" t="n"/>
      <c r="E335">
        <f>IF(A335="","",IFERROR(IF(INDEX(Workers!$D$3:$D$51,MATCH(A335,Workers!$A$3:$A$51,0))="Per Day",D335*INDEX(Workers!$E$3:$E$51,MATCH(A335,Workers!$A$3:$A$51,0)),INDEX(Workers!$E$3:$E$51,MATCH(A335,Workers!$A$3:$A$51,0))),"Invalid Worker ID"))</f>
        <v/>
      </c>
      <c r="G335">
        <f>IF(OR(A335="",E335="Invalid Worker ID"),"",E335-F335)</f>
        <v/>
      </c>
      <c r="H335">
        <f>IF(A335="","",IFERROR(INDEX(Workers!$F$3:$F$51,MATCH(A335,Workers!$A$3:$A$51,0)),"Invalid Worker ID"))</f>
        <v/>
      </c>
      <c r="K335">
        <f>A335&amp;"|"&amp;C335</f>
        <v/>
      </c>
    </row>
    <row r="336">
      <c r="B336">
        <f>IF(A336="","",IFERROR(INDEX(Workers!$B$3:$B$51,MATCH(A336,Workers!$A$3:$A$51,0)),"Invalid Worker ID"))</f>
        <v/>
      </c>
      <c r="C336" s="15" t="n"/>
      <c r="E336">
        <f>IF(A336="","",IFERROR(IF(INDEX(Workers!$D$3:$D$51,MATCH(A336,Workers!$A$3:$A$51,0))="Per Day",D336*INDEX(Workers!$E$3:$E$51,MATCH(A336,Workers!$A$3:$A$51,0)),INDEX(Workers!$E$3:$E$51,MATCH(A336,Workers!$A$3:$A$51,0))),"Invalid Worker ID"))</f>
        <v/>
      </c>
      <c r="G336">
        <f>IF(OR(A336="",E336="Invalid Worker ID"),"",E336-F336)</f>
        <v/>
      </c>
      <c r="H336">
        <f>IF(A336="","",IFERROR(INDEX(Workers!$F$3:$F$51,MATCH(A336,Workers!$A$3:$A$51,0)),"Invalid Worker ID"))</f>
        <v/>
      </c>
      <c r="K336">
        <f>A336&amp;"|"&amp;C336</f>
        <v/>
      </c>
    </row>
    <row r="337">
      <c r="B337">
        <f>IF(A337="","",IFERROR(INDEX(Workers!$B$3:$B$51,MATCH(A337,Workers!$A$3:$A$51,0)),"Invalid Worker ID"))</f>
        <v/>
      </c>
      <c r="C337" s="15" t="n"/>
      <c r="E337">
        <f>IF(A337="","",IFERROR(IF(INDEX(Workers!$D$3:$D$51,MATCH(A337,Workers!$A$3:$A$51,0))="Per Day",D337*INDEX(Workers!$E$3:$E$51,MATCH(A337,Workers!$A$3:$A$51,0)),INDEX(Workers!$E$3:$E$51,MATCH(A337,Workers!$A$3:$A$51,0))),"Invalid Worker ID"))</f>
        <v/>
      </c>
      <c r="G337">
        <f>IF(OR(A337="",E337="Invalid Worker ID"),"",E337-F337)</f>
        <v/>
      </c>
      <c r="H337">
        <f>IF(A337="","",IFERROR(INDEX(Workers!$F$3:$F$51,MATCH(A337,Workers!$A$3:$A$51,0)),"Invalid Worker ID"))</f>
        <v/>
      </c>
      <c r="K337">
        <f>A337&amp;"|"&amp;C337</f>
        <v/>
      </c>
    </row>
    <row r="338">
      <c r="B338">
        <f>IF(A338="","",IFERROR(INDEX(Workers!$B$3:$B$51,MATCH(A338,Workers!$A$3:$A$51,0)),"Invalid Worker ID"))</f>
        <v/>
      </c>
      <c r="C338" s="15" t="n"/>
      <c r="E338">
        <f>IF(A338="","",IFERROR(IF(INDEX(Workers!$D$3:$D$51,MATCH(A338,Workers!$A$3:$A$51,0))="Per Day",D338*INDEX(Workers!$E$3:$E$51,MATCH(A338,Workers!$A$3:$A$51,0)),INDEX(Workers!$E$3:$E$51,MATCH(A338,Workers!$A$3:$A$51,0))),"Invalid Worker ID"))</f>
        <v/>
      </c>
      <c r="G338">
        <f>IF(OR(A338="",E338="Invalid Worker ID"),"",E338-F338)</f>
        <v/>
      </c>
      <c r="H338">
        <f>IF(A338="","",IFERROR(INDEX(Workers!$F$3:$F$51,MATCH(A338,Workers!$A$3:$A$51,0)),"Invalid Worker ID"))</f>
        <v/>
      </c>
      <c r="K338">
        <f>A338&amp;"|"&amp;C338</f>
        <v/>
      </c>
    </row>
    <row r="339">
      <c r="B339">
        <f>IF(A339="","",IFERROR(INDEX(Workers!$B$3:$B$51,MATCH(A339,Workers!$A$3:$A$51,0)),"Invalid Worker ID"))</f>
        <v/>
      </c>
      <c r="C339" s="15" t="n"/>
      <c r="E339">
        <f>IF(A339="","",IFERROR(IF(INDEX(Workers!$D$3:$D$51,MATCH(A339,Workers!$A$3:$A$51,0))="Per Day",D339*INDEX(Workers!$E$3:$E$51,MATCH(A339,Workers!$A$3:$A$51,0)),INDEX(Workers!$E$3:$E$51,MATCH(A339,Workers!$A$3:$A$51,0))),"Invalid Worker ID"))</f>
        <v/>
      </c>
      <c r="G339">
        <f>IF(OR(A339="",E339="Invalid Worker ID"),"",E339-F339)</f>
        <v/>
      </c>
      <c r="H339">
        <f>IF(A339="","",IFERROR(INDEX(Workers!$F$3:$F$51,MATCH(A339,Workers!$A$3:$A$51,0)),"Invalid Worker ID"))</f>
        <v/>
      </c>
      <c r="K339">
        <f>A339&amp;"|"&amp;C339</f>
        <v/>
      </c>
    </row>
    <row r="340">
      <c r="B340">
        <f>IF(A340="","",IFERROR(INDEX(Workers!$B$3:$B$51,MATCH(A340,Workers!$A$3:$A$51,0)),"Invalid Worker ID"))</f>
        <v/>
      </c>
      <c r="C340" s="15" t="n"/>
      <c r="E340">
        <f>IF(A340="","",IFERROR(IF(INDEX(Workers!$D$3:$D$51,MATCH(A340,Workers!$A$3:$A$51,0))="Per Day",D340*INDEX(Workers!$E$3:$E$51,MATCH(A340,Workers!$A$3:$A$51,0)),INDEX(Workers!$E$3:$E$51,MATCH(A340,Workers!$A$3:$A$51,0))),"Invalid Worker ID"))</f>
        <v/>
      </c>
      <c r="G340">
        <f>IF(OR(A340="",E340="Invalid Worker ID"),"",E340-F340)</f>
        <v/>
      </c>
      <c r="H340">
        <f>IF(A340="","",IFERROR(INDEX(Workers!$F$3:$F$51,MATCH(A340,Workers!$A$3:$A$51,0)),"Invalid Worker ID"))</f>
        <v/>
      </c>
      <c r="K340">
        <f>A340&amp;"|"&amp;C340</f>
        <v/>
      </c>
    </row>
    <row r="341">
      <c r="B341">
        <f>IF(A341="","",IFERROR(INDEX(Workers!$B$3:$B$51,MATCH(A341,Workers!$A$3:$A$51,0)),"Invalid Worker ID"))</f>
        <v/>
      </c>
      <c r="C341" s="15" t="n"/>
      <c r="E341">
        <f>IF(A341="","",IFERROR(IF(INDEX(Workers!$D$3:$D$51,MATCH(A341,Workers!$A$3:$A$51,0))="Per Day",D341*INDEX(Workers!$E$3:$E$51,MATCH(A341,Workers!$A$3:$A$51,0)),INDEX(Workers!$E$3:$E$51,MATCH(A341,Workers!$A$3:$A$51,0))),"Invalid Worker ID"))</f>
        <v/>
      </c>
      <c r="G341">
        <f>IF(OR(A341="",E341="Invalid Worker ID"),"",E341-F341)</f>
        <v/>
      </c>
      <c r="H341">
        <f>IF(A341="","",IFERROR(INDEX(Workers!$F$3:$F$51,MATCH(A341,Workers!$A$3:$A$51,0)),"Invalid Worker ID"))</f>
        <v/>
      </c>
      <c r="K341">
        <f>A341&amp;"|"&amp;C341</f>
        <v/>
      </c>
    </row>
    <row r="342">
      <c r="B342">
        <f>IF(A342="","",IFERROR(INDEX(Workers!$B$3:$B$51,MATCH(A342,Workers!$A$3:$A$51,0)),"Invalid Worker ID"))</f>
        <v/>
      </c>
      <c r="C342" s="15" t="n"/>
      <c r="E342">
        <f>IF(A342="","",IFERROR(IF(INDEX(Workers!$D$3:$D$51,MATCH(A342,Workers!$A$3:$A$51,0))="Per Day",D342*INDEX(Workers!$E$3:$E$51,MATCH(A342,Workers!$A$3:$A$51,0)),INDEX(Workers!$E$3:$E$51,MATCH(A342,Workers!$A$3:$A$51,0))),"Invalid Worker ID"))</f>
        <v/>
      </c>
      <c r="G342">
        <f>IF(OR(A342="",E342="Invalid Worker ID"),"",E342-F342)</f>
        <v/>
      </c>
      <c r="H342">
        <f>IF(A342="","",IFERROR(INDEX(Workers!$F$3:$F$51,MATCH(A342,Workers!$A$3:$A$51,0)),"Invalid Worker ID"))</f>
        <v/>
      </c>
      <c r="K342">
        <f>A342&amp;"|"&amp;C342</f>
        <v/>
      </c>
    </row>
    <row r="343">
      <c r="B343">
        <f>IF(A343="","",IFERROR(INDEX(Workers!$B$3:$B$51,MATCH(A343,Workers!$A$3:$A$51,0)),"Invalid Worker ID"))</f>
        <v/>
      </c>
      <c r="C343" s="15" t="n"/>
      <c r="E343">
        <f>IF(A343="","",IFERROR(IF(INDEX(Workers!$D$3:$D$51,MATCH(A343,Workers!$A$3:$A$51,0))="Per Day",D343*INDEX(Workers!$E$3:$E$51,MATCH(A343,Workers!$A$3:$A$51,0)),INDEX(Workers!$E$3:$E$51,MATCH(A343,Workers!$A$3:$A$51,0))),"Invalid Worker ID"))</f>
        <v/>
      </c>
      <c r="G343">
        <f>IF(OR(A343="",E343="Invalid Worker ID"),"",E343-F343)</f>
        <v/>
      </c>
      <c r="H343">
        <f>IF(A343="","",IFERROR(INDEX(Workers!$F$3:$F$51,MATCH(A343,Workers!$A$3:$A$51,0)),"Invalid Worker ID"))</f>
        <v/>
      </c>
      <c r="K343">
        <f>A343&amp;"|"&amp;C343</f>
        <v/>
      </c>
    </row>
    <row r="344">
      <c r="B344">
        <f>IF(A344="","",IFERROR(INDEX(Workers!$B$3:$B$51,MATCH(A344,Workers!$A$3:$A$51,0)),"Invalid Worker ID"))</f>
        <v/>
      </c>
      <c r="C344" s="15" t="n"/>
      <c r="E344">
        <f>IF(A344="","",IFERROR(IF(INDEX(Workers!$D$3:$D$51,MATCH(A344,Workers!$A$3:$A$51,0))="Per Day",D344*INDEX(Workers!$E$3:$E$51,MATCH(A344,Workers!$A$3:$A$51,0)),INDEX(Workers!$E$3:$E$51,MATCH(A344,Workers!$A$3:$A$51,0))),"Invalid Worker ID"))</f>
        <v/>
      </c>
      <c r="G344">
        <f>IF(OR(A344="",E344="Invalid Worker ID"),"",E344-F344)</f>
        <v/>
      </c>
      <c r="H344">
        <f>IF(A344="","",IFERROR(INDEX(Workers!$F$3:$F$51,MATCH(A344,Workers!$A$3:$A$51,0)),"Invalid Worker ID"))</f>
        <v/>
      </c>
      <c r="K344">
        <f>A344&amp;"|"&amp;C344</f>
        <v/>
      </c>
    </row>
    <row r="345">
      <c r="B345">
        <f>IF(A345="","",IFERROR(INDEX(Workers!$B$3:$B$51,MATCH(A345,Workers!$A$3:$A$51,0)),"Invalid Worker ID"))</f>
        <v/>
      </c>
      <c r="C345" s="15" t="n"/>
      <c r="E345">
        <f>IF(A345="","",IFERROR(IF(INDEX(Workers!$D$3:$D$51,MATCH(A345,Workers!$A$3:$A$51,0))="Per Day",D345*INDEX(Workers!$E$3:$E$51,MATCH(A345,Workers!$A$3:$A$51,0)),INDEX(Workers!$E$3:$E$51,MATCH(A345,Workers!$A$3:$A$51,0))),"Invalid Worker ID"))</f>
        <v/>
      </c>
      <c r="G345">
        <f>IF(OR(A345="",E345="Invalid Worker ID"),"",E345-F345)</f>
        <v/>
      </c>
      <c r="H345">
        <f>IF(A345="","",IFERROR(INDEX(Workers!$F$3:$F$51,MATCH(A345,Workers!$A$3:$A$51,0)),"Invalid Worker ID"))</f>
        <v/>
      </c>
      <c r="K345">
        <f>A345&amp;"|"&amp;C345</f>
        <v/>
      </c>
    </row>
    <row r="346">
      <c r="B346">
        <f>IF(A346="","",IFERROR(INDEX(Workers!$B$3:$B$51,MATCH(A346,Workers!$A$3:$A$51,0)),"Invalid Worker ID"))</f>
        <v/>
      </c>
      <c r="C346" s="15" t="n"/>
      <c r="E346">
        <f>IF(A346="","",IFERROR(IF(INDEX(Workers!$D$3:$D$51,MATCH(A346,Workers!$A$3:$A$51,0))="Per Day",D346*INDEX(Workers!$E$3:$E$51,MATCH(A346,Workers!$A$3:$A$51,0)),INDEX(Workers!$E$3:$E$51,MATCH(A346,Workers!$A$3:$A$51,0))),"Invalid Worker ID"))</f>
        <v/>
      </c>
      <c r="G346">
        <f>IF(OR(A346="",E346="Invalid Worker ID"),"",E346-F346)</f>
        <v/>
      </c>
      <c r="H346">
        <f>IF(A346="","",IFERROR(INDEX(Workers!$F$3:$F$51,MATCH(A346,Workers!$A$3:$A$51,0)),"Invalid Worker ID"))</f>
        <v/>
      </c>
      <c r="K346">
        <f>A346&amp;"|"&amp;C346</f>
        <v/>
      </c>
    </row>
    <row r="347">
      <c r="B347">
        <f>IF(A347="","",IFERROR(INDEX(Workers!$B$3:$B$51,MATCH(A347,Workers!$A$3:$A$51,0)),"Invalid Worker ID"))</f>
        <v/>
      </c>
      <c r="C347" s="15" t="n"/>
      <c r="E347">
        <f>IF(A347="","",IFERROR(IF(INDEX(Workers!$D$3:$D$51,MATCH(A347,Workers!$A$3:$A$51,0))="Per Day",D347*INDEX(Workers!$E$3:$E$51,MATCH(A347,Workers!$A$3:$A$51,0)),INDEX(Workers!$E$3:$E$51,MATCH(A347,Workers!$A$3:$A$51,0))),"Invalid Worker ID"))</f>
        <v/>
      </c>
      <c r="G347">
        <f>IF(OR(A347="",E347="Invalid Worker ID"),"",E347-F347)</f>
        <v/>
      </c>
      <c r="H347">
        <f>IF(A347="","",IFERROR(INDEX(Workers!$F$3:$F$51,MATCH(A347,Workers!$A$3:$A$51,0)),"Invalid Worker ID"))</f>
        <v/>
      </c>
      <c r="K347">
        <f>A347&amp;"|"&amp;C347</f>
        <v/>
      </c>
    </row>
    <row r="348">
      <c r="B348">
        <f>IF(A348="","",IFERROR(INDEX(Workers!$B$3:$B$51,MATCH(A348,Workers!$A$3:$A$51,0)),"Invalid Worker ID"))</f>
        <v/>
      </c>
      <c r="C348" s="15" t="n"/>
      <c r="E348">
        <f>IF(A348="","",IFERROR(IF(INDEX(Workers!$D$3:$D$51,MATCH(A348,Workers!$A$3:$A$51,0))="Per Day",D348*INDEX(Workers!$E$3:$E$51,MATCH(A348,Workers!$A$3:$A$51,0)),INDEX(Workers!$E$3:$E$51,MATCH(A348,Workers!$A$3:$A$51,0))),"Invalid Worker ID"))</f>
        <v/>
      </c>
      <c r="G348">
        <f>IF(OR(A348="",E348="Invalid Worker ID"),"",E348-F348)</f>
        <v/>
      </c>
      <c r="H348">
        <f>IF(A348="","",IFERROR(INDEX(Workers!$F$3:$F$51,MATCH(A348,Workers!$A$3:$A$51,0)),"Invalid Worker ID"))</f>
        <v/>
      </c>
      <c r="K348">
        <f>A348&amp;"|"&amp;C348</f>
        <v/>
      </c>
    </row>
    <row r="349">
      <c r="B349">
        <f>IF(A349="","",IFERROR(INDEX(Workers!$B$3:$B$51,MATCH(A349,Workers!$A$3:$A$51,0)),"Invalid Worker ID"))</f>
        <v/>
      </c>
      <c r="C349" s="15" t="n"/>
      <c r="E349">
        <f>IF(A349="","",IFERROR(IF(INDEX(Workers!$D$3:$D$51,MATCH(A349,Workers!$A$3:$A$51,0))="Per Day",D349*INDEX(Workers!$E$3:$E$51,MATCH(A349,Workers!$A$3:$A$51,0)),INDEX(Workers!$E$3:$E$51,MATCH(A349,Workers!$A$3:$A$51,0))),"Invalid Worker ID"))</f>
        <v/>
      </c>
      <c r="G349">
        <f>IF(OR(A349="",E349="Invalid Worker ID"),"",E349-F349)</f>
        <v/>
      </c>
      <c r="H349">
        <f>IF(A349="","",IFERROR(INDEX(Workers!$F$3:$F$51,MATCH(A349,Workers!$A$3:$A$51,0)),"Invalid Worker ID"))</f>
        <v/>
      </c>
      <c r="K349">
        <f>A349&amp;"|"&amp;C349</f>
        <v/>
      </c>
    </row>
    <row r="350">
      <c r="B350">
        <f>IF(A350="","",IFERROR(INDEX(Workers!$B$3:$B$51,MATCH(A350,Workers!$A$3:$A$51,0)),"Invalid Worker ID"))</f>
        <v/>
      </c>
      <c r="C350" s="15" t="n"/>
      <c r="E350">
        <f>IF(A350="","",IFERROR(IF(INDEX(Workers!$D$3:$D$51,MATCH(A350,Workers!$A$3:$A$51,0))="Per Day",D350*INDEX(Workers!$E$3:$E$51,MATCH(A350,Workers!$A$3:$A$51,0)),INDEX(Workers!$E$3:$E$51,MATCH(A350,Workers!$A$3:$A$51,0))),"Invalid Worker ID"))</f>
        <v/>
      </c>
      <c r="G350">
        <f>IF(OR(A350="",E350="Invalid Worker ID"),"",E350-F350)</f>
        <v/>
      </c>
      <c r="H350">
        <f>IF(A350="","",IFERROR(INDEX(Workers!$F$3:$F$51,MATCH(A350,Workers!$A$3:$A$51,0)),"Invalid Worker ID"))</f>
        <v/>
      </c>
      <c r="K350">
        <f>A350&amp;"|"&amp;C350</f>
        <v/>
      </c>
    </row>
    <row r="351">
      <c r="B351">
        <f>IF(A351="","",IFERROR(INDEX(Workers!$B$3:$B$51,MATCH(A351,Workers!$A$3:$A$51,0)),"Invalid Worker ID"))</f>
        <v/>
      </c>
      <c r="C351" s="15" t="n"/>
      <c r="E351">
        <f>IF(A351="","",IFERROR(IF(INDEX(Workers!$D$3:$D$51,MATCH(A351,Workers!$A$3:$A$51,0))="Per Day",D351*INDEX(Workers!$E$3:$E$51,MATCH(A351,Workers!$A$3:$A$51,0)),INDEX(Workers!$E$3:$E$51,MATCH(A351,Workers!$A$3:$A$51,0))),"Invalid Worker ID"))</f>
        <v/>
      </c>
      <c r="G351">
        <f>IF(OR(A351="",E351="Invalid Worker ID"),"",E351-F351)</f>
        <v/>
      </c>
      <c r="H351">
        <f>IF(A351="","",IFERROR(INDEX(Workers!$F$3:$F$51,MATCH(A351,Workers!$A$3:$A$51,0)),"Invalid Worker ID"))</f>
        <v/>
      </c>
      <c r="K351">
        <f>A351&amp;"|"&amp;C351</f>
        <v/>
      </c>
    </row>
    <row r="352">
      <c r="B352">
        <f>IF(A352="","",IFERROR(INDEX(Workers!$B$3:$B$51,MATCH(A352,Workers!$A$3:$A$51,0)),"Invalid Worker ID"))</f>
        <v/>
      </c>
      <c r="C352" s="15" t="n"/>
      <c r="E352">
        <f>IF(A352="","",IFERROR(IF(INDEX(Workers!$D$3:$D$51,MATCH(A352,Workers!$A$3:$A$51,0))="Per Day",D352*INDEX(Workers!$E$3:$E$51,MATCH(A352,Workers!$A$3:$A$51,0)),INDEX(Workers!$E$3:$E$51,MATCH(A352,Workers!$A$3:$A$51,0))),"Invalid Worker ID"))</f>
        <v/>
      </c>
      <c r="G352">
        <f>IF(OR(A352="",E352="Invalid Worker ID"),"",E352-F352)</f>
        <v/>
      </c>
      <c r="H352">
        <f>IF(A352="","",IFERROR(INDEX(Workers!$F$3:$F$51,MATCH(A352,Workers!$A$3:$A$51,0)),"Invalid Worker ID"))</f>
        <v/>
      </c>
      <c r="K352">
        <f>A352&amp;"|"&amp;C352</f>
        <v/>
      </c>
    </row>
    <row r="353">
      <c r="B353">
        <f>IF(A353="","",IFERROR(INDEX(Workers!$B$3:$B$51,MATCH(A353,Workers!$A$3:$A$51,0)),"Invalid Worker ID"))</f>
        <v/>
      </c>
      <c r="C353" s="15" t="n"/>
      <c r="E353">
        <f>IF(A353="","",IFERROR(IF(INDEX(Workers!$D$3:$D$51,MATCH(A353,Workers!$A$3:$A$51,0))="Per Day",D353*INDEX(Workers!$E$3:$E$51,MATCH(A353,Workers!$A$3:$A$51,0)),INDEX(Workers!$E$3:$E$51,MATCH(A353,Workers!$A$3:$A$51,0))),"Invalid Worker ID"))</f>
        <v/>
      </c>
      <c r="G353">
        <f>IF(OR(A353="",E353="Invalid Worker ID"),"",E353-F353)</f>
        <v/>
      </c>
      <c r="H353">
        <f>IF(A353="","",IFERROR(INDEX(Workers!$F$3:$F$51,MATCH(A353,Workers!$A$3:$A$51,0)),"Invalid Worker ID"))</f>
        <v/>
      </c>
      <c r="K353">
        <f>A353&amp;"|"&amp;C353</f>
        <v/>
      </c>
    </row>
    <row r="354">
      <c r="B354">
        <f>IF(A354="","",IFERROR(INDEX(Workers!$B$3:$B$51,MATCH(A354,Workers!$A$3:$A$51,0)),"Invalid Worker ID"))</f>
        <v/>
      </c>
      <c r="C354" s="15" t="n"/>
      <c r="E354">
        <f>IF(A354="","",IFERROR(IF(INDEX(Workers!$D$3:$D$51,MATCH(A354,Workers!$A$3:$A$51,0))="Per Day",D354*INDEX(Workers!$E$3:$E$51,MATCH(A354,Workers!$A$3:$A$51,0)),INDEX(Workers!$E$3:$E$51,MATCH(A354,Workers!$A$3:$A$51,0))),"Invalid Worker ID"))</f>
        <v/>
      </c>
      <c r="G354">
        <f>IF(OR(A354="",E354="Invalid Worker ID"),"",E354-F354)</f>
        <v/>
      </c>
      <c r="H354">
        <f>IF(A354="","",IFERROR(INDEX(Workers!$F$3:$F$51,MATCH(A354,Workers!$A$3:$A$51,0)),"Invalid Worker ID"))</f>
        <v/>
      </c>
      <c r="K354">
        <f>A354&amp;"|"&amp;C354</f>
        <v/>
      </c>
    </row>
    <row r="355">
      <c r="B355">
        <f>IF(A355="","",IFERROR(INDEX(Workers!$B$3:$B$51,MATCH(A355,Workers!$A$3:$A$51,0)),"Invalid Worker ID"))</f>
        <v/>
      </c>
      <c r="C355" s="15" t="n"/>
      <c r="E355">
        <f>IF(A355="","",IFERROR(IF(INDEX(Workers!$D$3:$D$51,MATCH(A355,Workers!$A$3:$A$51,0))="Per Day",D355*INDEX(Workers!$E$3:$E$51,MATCH(A355,Workers!$A$3:$A$51,0)),INDEX(Workers!$E$3:$E$51,MATCH(A355,Workers!$A$3:$A$51,0))),"Invalid Worker ID"))</f>
        <v/>
      </c>
      <c r="G355">
        <f>IF(OR(A355="",E355="Invalid Worker ID"),"",E355-F355)</f>
        <v/>
      </c>
      <c r="H355">
        <f>IF(A355="","",IFERROR(INDEX(Workers!$F$3:$F$51,MATCH(A355,Workers!$A$3:$A$51,0)),"Invalid Worker ID"))</f>
        <v/>
      </c>
      <c r="K355">
        <f>A355&amp;"|"&amp;C355</f>
        <v/>
      </c>
    </row>
    <row r="356">
      <c r="B356">
        <f>IF(A356="","",IFERROR(INDEX(Workers!$B$3:$B$51,MATCH(A356,Workers!$A$3:$A$51,0)),"Invalid Worker ID"))</f>
        <v/>
      </c>
      <c r="C356" s="15" t="n"/>
      <c r="E356">
        <f>IF(A356="","",IFERROR(IF(INDEX(Workers!$D$3:$D$51,MATCH(A356,Workers!$A$3:$A$51,0))="Per Day",D356*INDEX(Workers!$E$3:$E$51,MATCH(A356,Workers!$A$3:$A$51,0)),INDEX(Workers!$E$3:$E$51,MATCH(A356,Workers!$A$3:$A$51,0))),"Invalid Worker ID"))</f>
        <v/>
      </c>
      <c r="G356">
        <f>IF(OR(A356="",E356="Invalid Worker ID"),"",E356-F356)</f>
        <v/>
      </c>
      <c r="H356">
        <f>IF(A356="","",IFERROR(INDEX(Workers!$F$3:$F$51,MATCH(A356,Workers!$A$3:$A$51,0)),"Invalid Worker ID"))</f>
        <v/>
      </c>
      <c r="K356">
        <f>A356&amp;"|"&amp;C356</f>
        <v/>
      </c>
    </row>
    <row r="357">
      <c r="B357">
        <f>IF(A357="","",IFERROR(INDEX(Workers!$B$3:$B$51,MATCH(A357,Workers!$A$3:$A$51,0)),"Invalid Worker ID"))</f>
        <v/>
      </c>
      <c r="C357" s="15" t="n"/>
      <c r="E357">
        <f>IF(A357="","",IFERROR(IF(INDEX(Workers!$D$3:$D$51,MATCH(A357,Workers!$A$3:$A$51,0))="Per Day",D357*INDEX(Workers!$E$3:$E$51,MATCH(A357,Workers!$A$3:$A$51,0)),INDEX(Workers!$E$3:$E$51,MATCH(A357,Workers!$A$3:$A$51,0))),"Invalid Worker ID"))</f>
        <v/>
      </c>
      <c r="G357">
        <f>IF(OR(A357="",E357="Invalid Worker ID"),"",E357-F357)</f>
        <v/>
      </c>
      <c r="H357">
        <f>IF(A357="","",IFERROR(INDEX(Workers!$F$3:$F$51,MATCH(A357,Workers!$A$3:$A$51,0)),"Invalid Worker ID"))</f>
        <v/>
      </c>
      <c r="K357">
        <f>A357&amp;"|"&amp;C357</f>
        <v/>
      </c>
    </row>
    <row r="358">
      <c r="B358">
        <f>IF(A358="","",IFERROR(INDEX(Workers!$B$3:$B$51,MATCH(A358,Workers!$A$3:$A$51,0)),"Invalid Worker ID"))</f>
        <v/>
      </c>
      <c r="C358" s="15" t="n"/>
      <c r="E358">
        <f>IF(A358="","",IFERROR(IF(INDEX(Workers!$D$3:$D$51,MATCH(A358,Workers!$A$3:$A$51,0))="Per Day",D358*INDEX(Workers!$E$3:$E$51,MATCH(A358,Workers!$A$3:$A$51,0)),INDEX(Workers!$E$3:$E$51,MATCH(A358,Workers!$A$3:$A$51,0))),"Invalid Worker ID"))</f>
        <v/>
      </c>
      <c r="G358">
        <f>IF(OR(A358="",E358="Invalid Worker ID"),"",E358-F358)</f>
        <v/>
      </c>
      <c r="H358">
        <f>IF(A358="","",IFERROR(INDEX(Workers!$F$3:$F$51,MATCH(A358,Workers!$A$3:$A$51,0)),"Invalid Worker ID"))</f>
        <v/>
      </c>
      <c r="K358">
        <f>A358&amp;"|"&amp;C358</f>
        <v/>
      </c>
    </row>
    <row r="359">
      <c r="B359">
        <f>IF(A359="","",IFERROR(INDEX(Workers!$B$3:$B$51,MATCH(A359,Workers!$A$3:$A$51,0)),"Invalid Worker ID"))</f>
        <v/>
      </c>
      <c r="C359" s="15" t="n"/>
      <c r="E359">
        <f>IF(A359="","",IFERROR(IF(INDEX(Workers!$D$3:$D$51,MATCH(A359,Workers!$A$3:$A$51,0))="Per Day",D359*INDEX(Workers!$E$3:$E$51,MATCH(A359,Workers!$A$3:$A$51,0)),INDEX(Workers!$E$3:$E$51,MATCH(A359,Workers!$A$3:$A$51,0))),"Invalid Worker ID"))</f>
        <v/>
      </c>
      <c r="G359">
        <f>IF(OR(A359="",E359="Invalid Worker ID"),"",E359-F359)</f>
        <v/>
      </c>
      <c r="H359">
        <f>IF(A359="","",IFERROR(INDEX(Workers!$F$3:$F$51,MATCH(A359,Workers!$A$3:$A$51,0)),"Invalid Worker ID"))</f>
        <v/>
      </c>
      <c r="K359">
        <f>A359&amp;"|"&amp;C359</f>
        <v/>
      </c>
    </row>
    <row r="360">
      <c r="B360">
        <f>IF(A360="","",IFERROR(INDEX(Workers!$B$3:$B$51,MATCH(A360,Workers!$A$3:$A$51,0)),"Invalid Worker ID"))</f>
        <v/>
      </c>
      <c r="C360" s="15" t="n"/>
      <c r="E360">
        <f>IF(A360="","",IFERROR(IF(INDEX(Workers!$D$3:$D$51,MATCH(A360,Workers!$A$3:$A$51,0))="Per Day",D360*INDEX(Workers!$E$3:$E$51,MATCH(A360,Workers!$A$3:$A$51,0)),INDEX(Workers!$E$3:$E$51,MATCH(A360,Workers!$A$3:$A$51,0))),"Invalid Worker ID"))</f>
        <v/>
      </c>
      <c r="G360">
        <f>IF(OR(A360="",E360="Invalid Worker ID"),"",E360-F360)</f>
        <v/>
      </c>
      <c r="H360">
        <f>IF(A360="","",IFERROR(INDEX(Workers!$F$3:$F$51,MATCH(A360,Workers!$A$3:$A$51,0)),"Invalid Worker ID"))</f>
        <v/>
      </c>
      <c r="K360">
        <f>A360&amp;"|"&amp;C360</f>
        <v/>
      </c>
    </row>
    <row r="361">
      <c r="B361">
        <f>IF(A361="","",IFERROR(INDEX(Workers!$B$3:$B$51,MATCH(A361,Workers!$A$3:$A$51,0)),"Invalid Worker ID"))</f>
        <v/>
      </c>
      <c r="C361" s="15" t="n"/>
      <c r="E361">
        <f>IF(A361="","",IFERROR(IF(INDEX(Workers!$D$3:$D$51,MATCH(A361,Workers!$A$3:$A$51,0))="Per Day",D361*INDEX(Workers!$E$3:$E$51,MATCH(A361,Workers!$A$3:$A$51,0)),INDEX(Workers!$E$3:$E$51,MATCH(A361,Workers!$A$3:$A$51,0))),"Invalid Worker ID"))</f>
        <v/>
      </c>
      <c r="G361">
        <f>IF(OR(A361="",E361="Invalid Worker ID"),"",E361-F361)</f>
        <v/>
      </c>
      <c r="H361">
        <f>IF(A361="","",IFERROR(INDEX(Workers!$F$3:$F$51,MATCH(A361,Workers!$A$3:$A$51,0)),"Invalid Worker ID"))</f>
        <v/>
      </c>
      <c r="K361">
        <f>A361&amp;"|"&amp;C361</f>
        <v/>
      </c>
    </row>
    <row r="362">
      <c r="B362">
        <f>IF(A362="","",IFERROR(INDEX(Workers!$B$3:$B$51,MATCH(A362,Workers!$A$3:$A$51,0)),"Invalid Worker ID"))</f>
        <v/>
      </c>
      <c r="C362" s="15" t="n"/>
      <c r="E362">
        <f>IF(A362="","",IFERROR(IF(INDEX(Workers!$D$3:$D$51,MATCH(A362,Workers!$A$3:$A$51,0))="Per Day",D362*INDEX(Workers!$E$3:$E$51,MATCH(A362,Workers!$A$3:$A$51,0)),INDEX(Workers!$E$3:$E$51,MATCH(A362,Workers!$A$3:$A$51,0))),"Invalid Worker ID"))</f>
        <v/>
      </c>
      <c r="G362">
        <f>IF(OR(A362="",E362="Invalid Worker ID"),"",E362-F362)</f>
        <v/>
      </c>
      <c r="H362">
        <f>IF(A362="","",IFERROR(INDEX(Workers!$F$3:$F$51,MATCH(A362,Workers!$A$3:$A$51,0)),"Invalid Worker ID"))</f>
        <v/>
      </c>
      <c r="K362">
        <f>A362&amp;"|"&amp;C362</f>
        <v/>
      </c>
    </row>
    <row r="363">
      <c r="B363">
        <f>IF(A363="","",IFERROR(INDEX(Workers!$B$3:$B$51,MATCH(A363,Workers!$A$3:$A$51,0)),"Invalid Worker ID"))</f>
        <v/>
      </c>
      <c r="C363" s="15" t="n"/>
      <c r="E363">
        <f>IF(A363="","",IFERROR(IF(INDEX(Workers!$D$3:$D$51,MATCH(A363,Workers!$A$3:$A$51,0))="Per Day",D363*INDEX(Workers!$E$3:$E$51,MATCH(A363,Workers!$A$3:$A$51,0)),INDEX(Workers!$E$3:$E$51,MATCH(A363,Workers!$A$3:$A$51,0))),"Invalid Worker ID"))</f>
        <v/>
      </c>
      <c r="G363">
        <f>IF(OR(A363="",E363="Invalid Worker ID"),"",E363-F363)</f>
        <v/>
      </c>
      <c r="H363">
        <f>IF(A363="","",IFERROR(INDEX(Workers!$F$3:$F$51,MATCH(A363,Workers!$A$3:$A$51,0)),"Invalid Worker ID"))</f>
        <v/>
      </c>
      <c r="K363">
        <f>A363&amp;"|"&amp;C363</f>
        <v/>
      </c>
    </row>
    <row r="364">
      <c r="B364">
        <f>IF(A364="","",IFERROR(INDEX(Workers!$B$3:$B$51,MATCH(A364,Workers!$A$3:$A$51,0)),"Invalid Worker ID"))</f>
        <v/>
      </c>
      <c r="C364" s="15" t="n"/>
      <c r="E364">
        <f>IF(A364="","",IFERROR(IF(INDEX(Workers!$D$3:$D$51,MATCH(A364,Workers!$A$3:$A$51,0))="Per Day",D364*INDEX(Workers!$E$3:$E$51,MATCH(A364,Workers!$A$3:$A$51,0)),INDEX(Workers!$E$3:$E$51,MATCH(A364,Workers!$A$3:$A$51,0))),"Invalid Worker ID"))</f>
        <v/>
      </c>
      <c r="G364">
        <f>IF(OR(A364="",E364="Invalid Worker ID"),"",E364-F364)</f>
        <v/>
      </c>
      <c r="H364">
        <f>IF(A364="","",IFERROR(INDEX(Workers!$F$3:$F$51,MATCH(A364,Workers!$A$3:$A$51,0)),"Invalid Worker ID"))</f>
        <v/>
      </c>
      <c r="K364">
        <f>A364&amp;"|"&amp;C364</f>
        <v/>
      </c>
    </row>
    <row r="365">
      <c r="B365">
        <f>IF(A365="","",IFERROR(INDEX(Workers!$B$3:$B$51,MATCH(A365,Workers!$A$3:$A$51,0)),"Invalid Worker ID"))</f>
        <v/>
      </c>
      <c r="C365" s="15" t="n"/>
      <c r="E365">
        <f>IF(A365="","",IFERROR(IF(INDEX(Workers!$D$3:$D$51,MATCH(A365,Workers!$A$3:$A$51,0))="Per Day",D365*INDEX(Workers!$E$3:$E$51,MATCH(A365,Workers!$A$3:$A$51,0)),INDEX(Workers!$E$3:$E$51,MATCH(A365,Workers!$A$3:$A$51,0))),"Invalid Worker ID"))</f>
        <v/>
      </c>
      <c r="G365">
        <f>IF(OR(A365="",E365="Invalid Worker ID"),"",E365-F365)</f>
        <v/>
      </c>
      <c r="H365">
        <f>IF(A365="","",IFERROR(INDEX(Workers!$F$3:$F$51,MATCH(A365,Workers!$A$3:$A$51,0)),"Invalid Worker ID"))</f>
        <v/>
      </c>
      <c r="K365">
        <f>A365&amp;"|"&amp;C365</f>
        <v/>
      </c>
    </row>
    <row r="366">
      <c r="B366">
        <f>IF(A366="","",IFERROR(INDEX(Workers!$B$3:$B$51,MATCH(A366,Workers!$A$3:$A$51,0)),"Invalid Worker ID"))</f>
        <v/>
      </c>
      <c r="C366" s="15" t="n"/>
      <c r="E366">
        <f>IF(A366="","",IFERROR(IF(INDEX(Workers!$D$3:$D$51,MATCH(A366,Workers!$A$3:$A$51,0))="Per Day",D366*INDEX(Workers!$E$3:$E$51,MATCH(A366,Workers!$A$3:$A$51,0)),INDEX(Workers!$E$3:$E$51,MATCH(A366,Workers!$A$3:$A$51,0))),"Invalid Worker ID"))</f>
        <v/>
      </c>
      <c r="G366">
        <f>IF(OR(A366="",E366="Invalid Worker ID"),"",E366-F366)</f>
        <v/>
      </c>
      <c r="H366">
        <f>IF(A366="","",IFERROR(INDEX(Workers!$F$3:$F$51,MATCH(A366,Workers!$A$3:$A$51,0)),"Invalid Worker ID"))</f>
        <v/>
      </c>
      <c r="K366">
        <f>A366&amp;"|"&amp;C366</f>
        <v/>
      </c>
    </row>
    <row r="367">
      <c r="B367">
        <f>IF(A367="","",IFERROR(INDEX(Workers!$B$3:$B$51,MATCH(A367,Workers!$A$3:$A$51,0)),"Invalid Worker ID"))</f>
        <v/>
      </c>
      <c r="C367" s="15" t="n"/>
      <c r="E367">
        <f>IF(A367="","",IFERROR(IF(INDEX(Workers!$D$3:$D$51,MATCH(A367,Workers!$A$3:$A$51,0))="Per Day",D367*INDEX(Workers!$E$3:$E$51,MATCH(A367,Workers!$A$3:$A$51,0)),INDEX(Workers!$E$3:$E$51,MATCH(A367,Workers!$A$3:$A$51,0))),"Invalid Worker ID"))</f>
        <v/>
      </c>
      <c r="G367">
        <f>IF(OR(A367="",E367="Invalid Worker ID"),"",E367-F367)</f>
        <v/>
      </c>
      <c r="H367">
        <f>IF(A367="","",IFERROR(INDEX(Workers!$F$3:$F$51,MATCH(A367,Workers!$A$3:$A$51,0)),"Invalid Worker ID"))</f>
        <v/>
      </c>
      <c r="K367">
        <f>A367&amp;"|"&amp;C367</f>
        <v/>
      </c>
    </row>
    <row r="368">
      <c r="B368">
        <f>IF(A368="","",IFERROR(INDEX(Workers!$B$3:$B$51,MATCH(A368,Workers!$A$3:$A$51,0)),"Invalid Worker ID"))</f>
        <v/>
      </c>
      <c r="C368" s="15" t="n"/>
      <c r="E368">
        <f>IF(A368="","",IFERROR(IF(INDEX(Workers!$D$3:$D$51,MATCH(A368,Workers!$A$3:$A$51,0))="Per Day",D368*INDEX(Workers!$E$3:$E$51,MATCH(A368,Workers!$A$3:$A$51,0)),INDEX(Workers!$E$3:$E$51,MATCH(A368,Workers!$A$3:$A$51,0))),"Invalid Worker ID"))</f>
        <v/>
      </c>
      <c r="G368">
        <f>IF(OR(A368="",E368="Invalid Worker ID"),"",E368-F368)</f>
        <v/>
      </c>
      <c r="H368">
        <f>IF(A368="","",IFERROR(INDEX(Workers!$F$3:$F$51,MATCH(A368,Workers!$A$3:$A$51,0)),"Invalid Worker ID"))</f>
        <v/>
      </c>
      <c r="K368">
        <f>A368&amp;"|"&amp;C368</f>
        <v/>
      </c>
    </row>
    <row r="369">
      <c r="B369">
        <f>IF(A369="","",IFERROR(INDEX(Workers!$B$3:$B$51,MATCH(A369,Workers!$A$3:$A$51,0)),"Invalid Worker ID"))</f>
        <v/>
      </c>
      <c r="C369" s="15" t="n"/>
      <c r="E369">
        <f>IF(A369="","",IFERROR(IF(INDEX(Workers!$D$3:$D$51,MATCH(A369,Workers!$A$3:$A$51,0))="Per Day",D369*INDEX(Workers!$E$3:$E$51,MATCH(A369,Workers!$A$3:$A$51,0)),INDEX(Workers!$E$3:$E$51,MATCH(A369,Workers!$A$3:$A$51,0))),"Invalid Worker ID"))</f>
        <v/>
      </c>
      <c r="G369">
        <f>IF(OR(A369="",E369="Invalid Worker ID"),"",E369-F369)</f>
        <v/>
      </c>
      <c r="H369">
        <f>IF(A369="","",IFERROR(INDEX(Workers!$F$3:$F$51,MATCH(A369,Workers!$A$3:$A$51,0)),"Invalid Worker ID"))</f>
        <v/>
      </c>
      <c r="K369">
        <f>A369&amp;"|"&amp;C369</f>
        <v/>
      </c>
    </row>
    <row r="370">
      <c r="B370">
        <f>IF(A370="","",IFERROR(INDEX(Workers!$B$3:$B$51,MATCH(A370,Workers!$A$3:$A$51,0)),"Invalid Worker ID"))</f>
        <v/>
      </c>
      <c r="C370" s="15" t="n"/>
      <c r="E370">
        <f>IF(A370="","",IFERROR(IF(INDEX(Workers!$D$3:$D$51,MATCH(A370,Workers!$A$3:$A$51,0))="Per Day",D370*INDEX(Workers!$E$3:$E$51,MATCH(A370,Workers!$A$3:$A$51,0)),INDEX(Workers!$E$3:$E$51,MATCH(A370,Workers!$A$3:$A$51,0))),"Invalid Worker ID"))</f>
        <v/>
      </c>
      <c r="G370">
        <f>IF(OR(A370="",E370="Invalid Worker ID"),"",E370-F370)</f>
        <v/>
      </c>
      <c r="H370">
        <f>IF(A370="","",IFERROR(INDEX(Workers!$F$3:$F$51,MATCH(A370,Workers!$A$3:$A$51,0)),"Invalid Worker ID"))</f>
        <v/>
      </c>
      <c r="K370">
        <f>A370&amp;"|"&amp;C370</f>
        <v/>
      </c>
    </row>
    <row r="371">
      <c r="B371">
        <f>IF(A371="","",IFERROR(INDEX(Workers!$B$3:$B$51,MATCH(A371,Workers!$A$3:$A$51,0)),"Invalid Worker ID"))</f>
        <v/>
      </c>
      <c r="C371" s="15" t="n"/>
      <c r="E371">
        <f>IF(A371="","",IFERROR(IF(INDEX(Workers!$D$3:$D$51,MATCH(A371,Workers!$A$3:$A$51,0))="Per Day",D371*INDEX(Workers!$E$3:$E$51,MATCH(A371,Workers!$A$3:$A$51,0)),INDEX(Workers!$E$3:$E$51,MATCH(A371,Workers!$A$3:$A$51,0))),"Invalid Worker ID"))</f>
        <v/>
      </c>
      <c r="G371">
        <f>IF(OR(A371="",E371="Invalid Worker ID"),"",E371-F371)</f>
        <v/>
      </c>
      <c r="H371">
        <f>IF(A371="","",IFERROR(INDEX(Workers!$F$3:$F$51,MATCH(A371,Workers!$A$3:$A$51,0)),"Invalid Worker ID"))</f>
        <v/>
      </c>
      <c r="K371">
        <f>A371&amp;"|"&amp;C371</f>
        <v/>
      </c>
    </row>
    <row r="372">
      <c r="B372">
        <f>IF(A372="","",IFERROR(INDEX(Workers!$B$3:$B$51,MATCH(A372,Workers!$A$3:$A$51,0)),"Invalid Worker ID"))</f>
        <v/>
      </c>
      <c r="C372" s="15" t="n"/>
      <c r="E372">
        <f>IF(A372="","",IFERROR(IF(INDEX(Workers!$D$3:$D$51,MATCH(A372,Workers!$A$3:$A$51,0))="Per Day",D372*INDEX(Workers!$E$3:$E$51,MATCH(A372,Workers!$A$3:$A$51,0)),INDEX(Workers!$E$3:$E$51,MATCH(A372,Workers!$A$3:$A$51,0))),"Invalid Worker ID"))</f>
        <v/>
      </c>
      <c r="G372">
        <f>IF(OR(A372="",E372="Invalid Worker ID"),"",E372-F372)</f>
        <v/>
      </c>
      <c r="H372">
        <f>IF(A372="","",IFERROR(INDEX(Workers!$F$3:$F$51,MATCH(A372,Workers!$A$3:$A$51,0)),"Invalid Worker ID"))</f>
        <v/>
      </c>
      <c r="K372">
        <f>A372&amp;"|"&amp;C372</f>
        <v/>
      </c>
    </row>
    <row r="373">
      <c r="B373">
        <f>IF(A373="","",IFERROR(INDEX(Workers!$B$3:$B$51,MATCH(A373,Workers!$A$3:$A$51,0)),"Invalid Worker ID"))</f>
        <v/>
      </c>
      <c r="C373" s="15" t="n"/>
      <c r="E373">
        <f>IF(A373="","",IFERROR(IF(INDEX(Workers!$D$3:$D$51,MATCH(A373,Workers!$A$3:$A$51,0))="Per Day",D373*INDEX(Workers!$E$3:$E$51,MATCH(A373,Workers!$A$3:$A$51,0)),INDEX(Workers!$E$3:$E$51,MATCH(A373,Workers!$A$3:$A$51,0))),"Invalid Worker ID"))</f>
        <v/>
      </c>
      <c r="G373">
        <f>IF(OR(A373="",E373="Invalid Worker ID"),"",E373-F373)</f>
        <v/>
      </c>
      <c r="H373">
        <f>IF(A373="","",IFERROR(INDEX(Workers!$F$3:$F$51,MATCH(A373,Workers!$A$3:$A$51,0)),"Invalid Worker ID"))</f>
        <v/>
      </c>
      <c r="K373">
        <f>A373&amp;"|"&amp;C373</f>
        <v/>
      </c>
    </row>
    <row r="374">
      <c r="B374">
        <f>IF(A374="","",IFERROR(INDEX(Workers!$B$3:$B$51,MATCH(A374,Workers!$A$3:$A$51,0)),"Invalid Worker ID"))</f>
        <v/>
      </c>
      <c r="C374" s="15" t="n"/>
      <c r="E374">
        <f>IF(A374="","",IFERROR(IF(INDEX(Workers!$D$3:$D$51,MATCH(A374,Workers!$A$3:$A$51,0))="Per Day",D374*INDEX(Workers!$E$3:$E$51,MATCH(A374,Workers!$A$3:$A$51,0)),INDEX(Workers!$E$3:$E$51,MATCH(A374,Workers!$A$3:$A$51,0))),"Invalid Worker ID"))</f>
        <v/>
      </c>
      <c r="G374">
        <f>IF(OR(A374="",E374="Invalid Worker ID"),"",E374-F374)</f>
        <v/>
      </c>
      <c r="H374">
        <f>IF(A374="","",IFERROR(INDEX(Workers!$F$3:$F$51,MATCH(A374,Workers!$A$3:$A$51,0)),"Invalid Worker ID"))</f>
        <v/>
      </c>
      <c r="K374">
        <f>A374&amp;"|"&amp;C374</f>
        <v/>
      </c>
    </row>
    <row r="375">
      <c r="B375">
        <f>IF(A375="","",IFERROR(INDEX(Workers!$B$3:$B$51,MATCH(A375,Workers!$A$3:$A$51,0)),"Invalid Worker ID"))</f>
        <v/>
      </c>
      <c r="C375" s="15" t="n"/>
      <c r="E375">
        <f>IF(A375="","",IFERROR(IF(INDEX(Workers!$D$3:$D$51,MATCH(A375,Workers!$A$3:$A$51,0))="Per Day",D375*INDEX(Workers!$E$3:$E$51,MATCH(A375,Workers!$A$3:$A$51,0)),INDEX(Workers!$E$3:$E$51,MATCH(A375,Workers!$A$3:$A$51,0))),"Invalid Worker ID"))</f>
        <v/>
      </c>
      <c r="G375">
        <f>IF(OR(A375="",E375="Invalid Worker ID"),"",E375-F375)</f>
        <v/>
      </c>
      <c r="H375">
        <f>IF(A375="","",IFERROR(INDEX(Workers!$F$3:$F$51,MATCH(A375,Workers!$A$3:$A$51,0)),"Invalid Worker ID"))</f>
        <v/>
      </c>
      <c r="K375">
        <f>A375&amp;"|"&amp;C375</f>
        <v/>
      </c>
    </row>
    <row r="376">
      <c r="B376">
        <f>IF(A376="","",IFERROR(INDEX(Workers!$B$3:$B$51,MATCH(A376,Workers!$A$3:$A$51,0)),"Invalid Worker ID"))</f>
        <v/>
      </c>
      <c r="C376" s="15" t="n"/>
      <c r="E376">
        <f>IF(A376="","",IFERROR(IF(INDEX(Workers!$D$3:$D$51,MATCH(A376,Workers!$A$3:$A$51,0))="Per Day",D376*INDEX(Workers!$E$3:$E$51,MATCH(A376,Workers!$A$3:$A$51,0)),INDEX(Workers!$E$3:$E$51,MATCH(A376,Workers!$A$3:$A$51,0))),"Invalid Worker ID"))</f>
        <v/>
      </c>
      <c r="G376">
        <f>IF(OR(A376="",E376="Invalid Worker ID"),"",E376-F376)</f>
        <v/>
      </c>
      <c r="H376">
        <f>IF(A376="","",IFERROR(INDEX(Workers!$F$3:$F$51,MATCH(A376,Workers!$A$3:$A$51,0)),"Invalid Worker ID"))</f>
        <v/>
      </c>
      <c r="K376">
        <f>A376&amp;"|"&amp;C376</f>
        <v/>
      </c>
    </row>
    <row r="377">
      <c r="B377">
        <f>IF(A377="","",IFERROR(INDEX(Workers!$B$3:$B$51,MATCH(A377,Workers!$A$3:$A$51,0)),"Invalid Worker ID"))</f>
        <v/>
      </c>
      <c r="C377" s="15" t="n"/>
      <c r="E377">
        <f>IF(A377="","",IFERROR(IF(INDEX(Workers!$D$3:$D$51,MATCH(A377,Workers!$A$3:$A$51,0))="Per Day",D377*INDEX(Workers!$E$3:$E$51,MATCH(A377,Workers!$A$3:$A$51,0)),INDEX(Workers!$E$3:$E$51,MATCH(A377,Workers!$A$3:$A$51,0))),"Invalid Worker ID"))</f>
        <v/>
      </c>
      <c r="G377">
        <f>IF(OR(A377="",E377="Invalid Worker ID"),"",E377-F377)</f>
        <v/>
      </c>
      <c r="H377">
        <f>IF(A377="","",IFERROR(INDEX(Workers!$F$3:$F$51,MATCH(A377,Workers!$A$3:$A$51,0)),"Invalid Worker ID"))</f>
        <v/>
      </c>
      <c r="K377">
        <f>A377&amp;"|"&amp;C377</f>
        <v/>
      </c>
    </row>
    <row r="378">
      <c r="B378">
        <f>IF(A378="","",IFERROR(INDEX(Workers!$B$3:$B$51,MATCH(A378,Workers!$A$3:$A$51,0)),"Invalid Worker ID"))</f>
        <v/>
      </c>
      <c r="C378" s="15" t="n"/>
      <c r="E378">
        <f>IF(A378="","",IFERROR(IF(INDEX(Workers!$D$3:$D$51,MATCH(A378,Workers!$A$3:$A$51,0))="Per Day",D378*INDEX(Workers!$E$3:$E$51,MATCH(A378,Workers!$A$3:$A$51,0)),INDEX(Workers!$E$3:$E$51,MATCH(A378,Workers!$A$3:$A$51,0))),"Invalid Worker ID"))</f>
        <v/>
      </c>
      <c r="G378">
        <f>IF(OR(A378="",E378="Invalid Worker ID"),"",E378-F378)</f>
        <v/>
      </c>
      <c r="H378">
        <f>IF(A378="","",IFERROR(INDEX(Workers!$F$3:$F$51,MATCH(A378,Workers!$A$3:$A$51,0)),"Invalid Worker ID"))</f>
        <v/>
      </c>
      <c r="K378">
        <f>A378&amp;"|"&amp;C378</f>
        <v/>
      </c>
    </row>
    <row r="379">
      <c r="B379">
        <f>IF(A379="","",IFERROR(INDEX(Workers!$B$3:$B$51,MATCH(A379,Workers!$A$3:$A$51,0)),"Invalid Worker ID"))</f>
        <v/>
      </c>
      <c r="C379" s="15" t="n"/>
      <c r="E379">
        <f>IF(A379="","",IFERROR(IF(INDEX(Workers!$D$3:$D$51,MATCH(A379,Workers!$A$3:$A$51,0))="Per Day",D379*INDEX(Workers!$E$3:$E$51,MATCH(A379,Workers!$A$3:$A$51,0)),INDEX(Workers!$E$3:$E$51,MATCH(A379,Workers!$A$3:$A$51,0))),"Invalid Worker ID"))</f>
        <v/>
      </c>
      <c r="G379">
        <f>IF(OR(A379="",E379="Invalid Worker ID"),"",E379-F379)</f>
        <v/>
      </c>
      <c r="H379">
        <f>IF(A379="","",IFERROR(INDEX(Workers!$F$3:$F$51,MATCH(A379,Workers!$A$3:$A$51,0)),"Invalid Worker ID"))</f>
        <v/>
      </c>
      <c r="K379">
        <f>A379&amp;"|"&amp;C379</f>
        <v/>
      </c>
    </row>
    <row r="380">
      <c r="B380">
        <f>IF(A380="","",IFERROR(INDEX(Workers!$B$3:$B$51,MATCH(A380,Workers!$A$3:$A$51,0)),"Invalid Worker ID"))</f>
        <v/>
      </c>
      <c r="C380" s="15" t="n"/>
      <c r="E380">
        <f>IF(A380="","",IFERROR(IF(INDEX(Workers!$D$3:$D$51,MATCH(A380,Workers!$A$3:$A$51,0))="Per Day",D380*INDEX(Workers!$E$3:$E$51,MATCH(A380,Workers!$A$3:$A$51,0)),INDEX(Workers!$E$3:$E$51,MATCH(A380,Workers!$A$3:$A$51,0))),"Invalid Worker ID"))</f>
        <v/>
      </c>
      <c r="G380">
        <f>IF(OR(A380="",E380="Invalid Worker ID"),"",E380-F380)</f>
        <v/>
      </c>
      <c r="H380">
        <f>IF(A380="","",IFERROR(INDEX(Workers!$F$3:$F$51,MATCH(A380,Workers!$A$3:$A$51,0)),"Invalid Worker ID"))</f>
        <v/>
      </c>
      <c r="K380">
        <f>A380&amp;"|"&amp;C380</f>
        <v/>
      </c>
    </row>
    <row r="381">
      <c r="B381">
        <f>IF(A381="","",IFERROR(INDEX(Workers!$B$3:$B$51,MATCH(A381,Workers!$A$3:$A$51,0)),"Invalid Worker ID"))</f>
        <v/>
      </c>
      <c r="C381" s="15" t="n"/>
      <c r="E381">
        <f>IF(A381="","",IFERROR(IF(INDEX(Workers!$D$3:$D$51,MATCH(A381,Workers!$A$3:$A$51,0))="Per Day",D381*INDEX(Workers!$E$3:$E$51,MATCH(A381,Workers!$A$3:$A$51,0)),INDEX(Workers!$E$3:$E$51,MATCH(A381,Workers!$A$3:$A$51,0))),"Invalid Worker ID"))</f>
        <v/>
      </c>
      <c r="G381">
        <f>IF(OR(A381="",E381="Invalid Worker ID"),"",E381-F381)</f>
        <v/>
      </c>
      <c r="H381">
        <f>IF(A381="","",IFERROR(INDEX(Workers!$F$3:$F$51,MATCH(A381,Workers!$A$3:$A$51,0)),"Invalid Worker ID"))</f>
        <v/>
      </c>
      <c r="K381">
        <f>A381&amp;"|"&amp;C381</f>
        <v/>
      </c>
    </row>
    <row r="382">
      <c r="B382">
        <f>IF(A382="","",IFERROR(INDEX(Workers!$B$3:$B$51,MATCH(A382,Workers!$A$3:$A$51,0)),"Invalid Worker ID"))</f>
        <v/>
      </c>
      <c r="C382" s="15" t="n"/>
      <c r="E382">
        <f>IF(A382="","",IFERROR(IF(INDEX(Workers!$D$3:$D$51,MATCH(A382,Workers!$A$3:$A$51,0))="Per Day",D382*INDEX(Workers!$E$3:$E$51,MATCH(A382,Workers!$A$3:$A$51,0)),INDEX(Workers!$E$3:$E$51,MATCH(A382,Workers!$A$3:$A$51,0))),"Invalid Worker ID"))</f>
        <v/>
      </c>
      <c r="G382">
        <f>IF(OR(A382="",E382="Invalid Worker ID"),"",E382-F382)</f>
        <v/>
      </c>
      <c r="H382">
        <f>IF(A382="","",IFERROR(INDEX(Workers!$F$3:$F$51,MATCH(A382,Workers!$A$3:$A$51,0)),"Invalid Worker ID"))</f>
        <v/>
      </c>
      <c r="K382">
        <f>A382&amp;"|"&amp;C382</f>
        <v/>
      </c>
    </row>
    <row r="383">
      <c r="B383">
        <f>IF(A383="","",IFERROR(INDEX(Workers!$B$3:$B$51,MATCH(A383,Workers!$A$3:$A$51,0)),"Invalid Worker ID"))</f>
        <v/>
      </c>
      <c r="C383" s="15" t="n"/>
      <c r="E383">
        <f>IF(A383="","",IFERROR(IF(INDEX(Workers!$D$3:$D$51,MATCH(A383,Workers!$A$3:$A$51,0))="Per Day",D383*INDEX(Workers!$E$3:$E$51,MATCH(A383,Workers!$A$3:$A$51,0)),INDEX(Workers!$E$3:$E$51,MATCH(A383,Workers!$A$3:$A$51,0))),"Invalid Worker ID"))</f>
        <v/>
      </c>
      <c r="G383">
        <f>IF(OR(A383="",E383="Invalid Worker ID"),"",E383-F383)</f>
        <v/>
      </c>
      <c r="H383">
        <f>IF(A383="","",IFERROR(INDEX(Workers!$F$3:$F$51,MATCH(A383,Workers!$A$3:$A$51,0)),"Invalid Worker ID"))</f>
        <v/>
      </c>
      <c r="K383">
        <f>A383&amp;"|"&amp;C383</f>
        <v/>
      </c>
    </row>
    <row r="384">
      <c r="B384">
        <f>IF(A384="","",IFERROR(INDEX(Workers!$B$3:$B$51,MATCH(A384,Workers!$A$3:$A$51,0)),"Invalid Worker ID"))</f>
        <v/>
      </c>
      <c r="C384" s="15" t="n"/>
      <c r="E384">
        <f>IF(A384="","",IFERROR(IF(INDEX(Workers!$D$3:$D$51,MATCH(A384,Workers!$A$3:$A$51,0))="Per Day",D384*INDEX(Workers!$E$3:$E$51,MATCH(A384,Workers!$A$3:$A$51,0)),INDEX(Workers!$E$3:$E$51,MATCH(A384,Workers!$A$3:$A$51,0))),"Invalid Worker ID"))</f>
        <v/>
      </c>
      <c r="G384">
        <f>IF(OR(A384="",E384="Invalid Worker ID"),"",E384-F384)</f>
        <v/>
      </c>
      <c r="H384">
        <f>IF(A384="","",IFERROR(INDEX(Workers!$F$3:$F$51,MATCH(A384,Workers!$A$3:$A$51,0)),"Invalid Worker ID"))</f>
        <v/>
      </c>
      <c r="K384">
        <f>A384&amp;"|"&amp;C384</f>
        <v/>
      </c>
    </row>
    <row r="385">
      <c r="B385">
        <f>IF(A385="","",IFERROR(INDEX(Workers!$B$3:$B$51,MATCH(A385,Workers!$A$3:$A$51,0)),"Invalid Worker ID"))</f>
        <v/>
      </c>
      <c r="C385" s="15" t="n"/>
      <c r="E385">
        <f>IF(A385="","",IFERROR(IF(INDEX(Workers!$D$3:$D$51,MATCH(A385,Workers!$A$3:$A$51,0))="Per Day",D385*INDEX(Workers!$E$3:$E$51,MATCH(A385,Workers!$A$3:$A$51,0)),INDEX(Workers!$E$3:$E$51,MATCH(A385,Workers!$A$3:$A$51,0))),"Invalid Worker ID"))</f>
        <v/>
      </c>
      <c r="G385">
        <f>IF(OR(A385="",E385="Invalid Worker ID"),"",E385-F385)</f>
        <v/>
      </c>
      <c r="H385">
        <f>IF(A385="","",IFERROR(INDEX(Workers!$F$3:$F$51,MATCH(A385,Workers!$A$3:$A$51,0)),"Invalid Worker ID"))</f>
        <v/>
      </c>
      <c r="K385">
        <f>A385&amp;"|"&amp;C385</f>
        <v/>
      </c>
    </row>
    <row r="386">
      <c r="B386">
        <f>IF(A386="","",IFERROR(INDEX(Workers!$B$3:$B$51,MATCH(A386,Workers!$A$3:$A$51,0)),"Invalid Worker ID"))</f>
        <v/>
      </c>
      <c r="C386" s="15" t="n"/>
      <c r="E386">
        <f>IF(A386="","",IFERROR(IF(INDEX(Workers!$D$3:$D$51,MATCH(A386,Workers!$A$3:$A$51,0))="Per Day",D386*INDEX(Workers!$E$3:$E$51,MATCH(A386,Workers!$A$3:$A$51,0)),INDEX(Workers!$E$3:$E$51,MATCH(A386,Workers!$A$3:$A$51,0))),"Invalid Worker ID"))</f>
        <v/>
      </c>
      <c r="G386">
        <f>IF(OR(A386="",E386="Invalid Worker ID"),"",E386-F386)</f>
        <v/>
      </c>
      <c r="H386">
        <f>IF(A386="","",IFERROR(INDEX(Workers!$F$3:$F$51,MATCH(A386,Workers!$A$3:$A$51,0)),"Invalid Worker ID"))</f>
        <v/>
      </c>
      <c r="K386">
        <f>A386&amp;"|"&amp;C386</f>
        <v/>
      </c>
    </row>
    <row r="387">
      <c r="B387">
        <f>IF(A387="","",IFERROR(INDEX(Workers!$B$3:$B$51,MATCH(A387,Workers!$A$3:$A$51,0)),"Invalid Worker ID"))</f>
        <v/>
      </c>
      <c r="C387" s="15" t="n"/>
      <c r="E387">
        <f>IF(A387="","",IFERROR(IF(INDEX(Workers!$D$3:$D$51,MATCH(A387,Workers!$A$3:$A$51,0))="Per Day",D387*INDEX(Workers!$E$3:$E$51,MATCH(A387,Workers!$A$3:$A$51,0)),INDEX(Workers!$E$3:$E$51,MATCH(A387,Workers!$A$3:$A$51,0))),"Invalid Worker ID"))</f>
        <v/>
      </c>
      <c r="G387">
        <f>IF(OR(A387="",E387="Invalid Worker ID"),"",E387-F387)</f>
        <v/>
      </c>
      <c r="H387">
        <f>IF(A387="","",IFERROR(INDEX(Workers!$F$3:$F$51,MATCH(A387,Workers!$A$3:$A$51,0)),"Invalid Worker ID"))</f>
        <v/>
      </c>
      <c r="K387">
        <f>A387&amp;"|"&amp;C387</f>
        <v/>
      </c>
    </row>
    <row r="388">
      <c r="B388">
        <f>IF(A388="","",IFERROR(INDEX(Workers!$B$3:$B$51,MATCH(A388,Workers!$A$3:$A$51,0)),"Invalid Worker ID"))</f>
        <v/>
      </c>
      <c r="C388" s="15" t="n"/>
      <c r="E388">
        <f>IF(A388="","",IFERROR(IF(INDEX(Workers!$D$3:$D$51,MATCH(A388,Workers!$A$3:$A$51,0))="Per Day",D388*INDEX(Workers!$E$3:$E$51,MATCH(A388,Workers!$A$3:$A$51,0)),INDEX(Workers!$E$3:$E$51,MATCH(A388,Workers!$A$3:$A$51,0))),"Invalid Worker ID"))</f>
        <v/>
      </c>
      <c r="G388">
        <f>IF(OR(A388="",E388="Invalid Worker ID"),"",E388-F388)</f>
        <v/>
      </c>
      <c r="H388">
        <f>IF(A388="","",IFERROR(INDEX(Workers!$F$3:$F$51,MATCH(A388,Workers!$A$3:$A$51,0)),"Invalid Worker ID"))</f>
        <v/>
      </c>
      <c r="K388">
        <f>A388&amp;"|"&amp;C388</f>
        <v/>
      </c>
    </row>
    <row r="389">
      <c r="B389">
        <f>IF(A389="","",IFERROR(INDEX(Workers!$B$3:$B$51,MATCH(A389,Workers!$A$3:$A$51,0)),"Invalid Worker ID"))</f>
        <v/>
      </c>
      <c r="C389" s="15" t="n"/>
      <c r="E389">
        <f>IF(A389="","",IFERROR(IF(INDEX(Workers!$D$3:$D$51,MATCH(A389,Workers!$A$3:$A$51,0))="Per Day",D389*INDEX(Workers!$E$3:$E$51,MATCH(A389,Workers!$A$3:$A$51,0)),INDEX(Workers!$E$3:$E$51,MATCH(A389,Workers!$A$3:$A$51,0))),"Invalid Worker ID"))</f>
        <v/>
      </c>
      <c r="G389">
        <f>IF(OR(A389="",E389="Invalid Worker ID"),"",E389-F389)</f>
        <v/>
      </c>
      <c r="H389">
        <f>IF(A389="","",IFERROR(INDEX(Workers!$F$3:$F$51,MATCH(A389,Workers!$A$3:$A$51,0)),"Invalid Worker ID"))</f>
        <v/>
      </c>
      <c r="K389">
        <f>A389&amp;"|"&amp;C389</f>
        <v/>
      </c>
    </row>
    <row r="390">
      <c r="B390">
        <f>IF(A390="","",IFERROR(INDEX(Workers!$B$3:$B$51,MATCH(A390,Workers!$A$3:$A$51,0)),"Invalid Worker ID"))</f>
        <v/>
      </c>
      <c r="C390" s="15" t="n"/>
      <c r="E390">
        <f>IF(A390="","",IFERROR(IF(INDEX(Workers!$D$3:$D$51,MATCH(A390,Workers!$A$3:$A$51,0))="Per Day",D390*INDEX(Workers!$E$3:$E$51,MATCH(A390,Workers!$A$3:$A$51,0)),INDEX(Workers!$E$3:$E$51,MATCH(A390,Workers!$A$3:$A$51,0))),"Invalid Worker ID"))</f>
        <v/>
      </c>
      <c r="G390">
        <f>IF(OR(A390="",E390="Invalid Worker ID"),"",E390-F390)</f>
        <v/>
      </c>
      <c r="H390">
        <f>IF(A390="","",IFERROR(INDEX(Workers!$F$3:$F$51,MATCH(A390,Workers!$A$3:$A$51,0)),"Invalid Worker ID"))</f>
        <v/>
      </c>
      <c r="K390">
        <f>A390&amp;"|"&amp;C390</f>
        <v/>
      </c>
    </row>
    <row r="391">
      <c r="B391">
        <f>IF(A391="","",IFERROR(INDEX(Workers!$B$3:$B$51,MATCH(A391,Workers!$A$3:$A$51,0)),"Invalid Worker ID"))</f>
        <v/>
      </c>
      <c r="C391" s="15" t="n"/>
      <c r="E391">
        <f>IF(A391="","",IFERROR(IF(INDEX(Workers!$D$3:$D$51,MATCH(A391,Workers!$A$3:$A$51,0))="Per Day",D391*INDEX(Workers!$E$3:$E$51,MATCH(A391,Workers!$A$3:$A$51,0)),INDEX(Workers!$E$3:$E$51,MATCH(A391,Workers!$A$3:$A$51,0))),"Invalid Worker ID"))</f>
        <v/>
      </c>
      <c r="G391">
        <f>IF(OR(A391="",E391="Invalid Worker ID"),"",E391-F391)</f>
        <v/>
      </c>
      <c r="H391">
        <f>IF(A391="","",IFERROR(INDEX(Workers!$F$3:$F$51,MATCH(A391,Workers!$A$3:$A$51,0)),"Invalid Worker ID"))</f>
        <v/>
      </c>
      <c r="K391">
        <f>A391&amp;"|"&amp;C391</f>
        <v/>
      </c>
    </row>
    <row r="392">
      <c r="B392">
        <f>IF(A392="","",IFERROR(INDEX(Workers!$B$3:$B$51,MATCH(A392,Workers!$A$3:$A$51,0)),"Invalid Worker ID"))</f>
        <v/>
      </c>
      <c r="C392" s="15" t="n"/>
      <c r="E392">
        <f>IF(A392="","",IFERROR(IF(INDEX(Workers!$D$3:$D$51,MATCH(A392,Workers!$A$3:$A$51,0))="Per Day",D392*INDEX(Workers!$E$3:$E$51,MATCH(A392,Workers!$A$3:$A$51,0)),INDEX(Workers!$E$3:$E$51,MATCH(A392,Workers!$A$3:$A$51,0))),"Invalid Worker ID"))</f>
        <v/>
      </c>
      <c r="G392">
        <f>IF(OR(A392="",E392="Invalid Worker ID"),"",E392-F392)</f>
        <v/>
      </c>
      <c r="H392">
        <f>IF(A392="","",IFERROR(INDEX(Workers!$F$3:$F$51,MATCH(A392,Workers!$A$3:$A$51,0)),"Invalid Worker ID"))</f>
        <v/>
      </c>
      <c r="K392">
        <f>A392&amp;"|"&amp;C392</f>
        <v/>
      </c>
    </row>
    <row r="393">
      <c r="B393">
        <f>IF(A393="","",IFERROR(INDEX(Workers!$B$3:$B$51,MATCH(A393,Workers!$A$3:$A$51,0)),"Invalid Worker ID"))</f>
        <v/>
      </c>
      <c r="C393" s="15" t="n"/>
      <c r="E393">
        <f>IF(A393="","",IFERROR(IF(INDEX(Workers!$D$3:$D$51,MATCH(A393,Workers!$A$3:$A$51,0))="Per Day",D393*INDEX(Workers!$E$3:$E$51,MATCH(A393,Workers!$A$3:$A$51,0)),INDEX(Workers!$E$3:$E$51,MATCH(A393,Workers!$A$3:$A$51,0))),"Invalid Worker ID"))</f>
        <v/>
      </c>
      <c r="G393">
        <f>IF(OR(A393="",E393="Invalid Worker ID"),"",E393-F393)</f>
        <v/>
      </c>
      <c r="H393">
        <f>IF(A393="","",IFERROR(INDEX(Workers!$F$3:$F$51,MATCH(A393,Workers!$A$3:$A$51,0)),"Invalid Worker ID"))</f>
        <v/>
      </c>
      <c r="K393">
        <f>A393&amp;"|"&amp;C393</f>
        <v/>
      </c>
    </row>
    <row r="394">
      <c r="B394">
        <f>IF(A394="","",IFERROR(INDEX(Workers!$B$3:$B$51,MATCH(A394,Workers!$A$3:$A$51,0)),"Invalid Worker ID"))</f>
        <v/>
      </c>
      <c r="C394" s="15" t="n"/>
      <c r="E394">
        <f>IF(A394="","",IFERROR(IF(INDEX(Workers!$D$3:$D$51,MATCH(A394,Workers!$A$3:$A$51,0))="Per Day",D394*INDEX(Workers!$E$3:$E$51,MATCH(A394,Workers!$A$3:$A$51,0)),INDEX(Workers!$E$3:$E$51,MATCH(A394,Workers!$A$3:$A$51,0))),"Invalid Worker ID"))</f>
        <v/>
      </c>
      <c r="G394">
        <f>IF(OR(A394="",E394="Invalid Worker ID"),"",E394-F394)</f>
        <v/>
      </c>
      <c r="H394">
        <f>IF(A394="","",IFERROR(INDEX(Workers!$F$3:$F$51,MATCH(A394,Workers!$A$3:$A$51,0)),"Invalid Worker ID"))</f>
        <v/>
      </c>
      <c r="K394">
        <f>A394&amp;"|"&amp;C394</f>
        <v/>
      </c>
    </row>
    <row r="395">
      <c r="B395">
        <f>IF(A395="","",IFERROR(INDEX(Workers!$B$3:$B$51,MATCH(A395,Workers!$A$3:$A$51,0)),"Invalid Worker ID"))</f>
        <v/>
      </c>
      <c r="C395" s="15" t="n"/>
      <c r="E395">
        <f>IF(A395="","",IFERROR(IF(INDEX(Workers!$D$3:$D$51,MATCH(A395,Workers!$A$3:$A$51,0))="Per Day",D395*INDEX(Workers!$E$3:$E$51,MATCH(A395,Workers!$A$3:$A$51,0)),INDEX(Workers!$E$3:$E$51,MATCH(A395,Workers!$A$3:$A$51,0))),"Invalid Worker ID"))</f>
        <v/>
      </c>
      <c r="G395">
        <f>IF(OR(A395="",E395="Invalid Worker ID"),"",E395-F395)</f>
        <v/>
      </c>
      <c r="H395">
        <f>IF(A395="","",IFERROR(INDEX(Workers!$F$3:$F$51,MATCH(A395,Workers!$A$3:$A$51,0)),"Invalid Worker ID"))</f>
        <v/>
      </c>
      <c r="K395">
        <f>A395&amp;"|"&amp;C395</f>
        <v/>
      </c>
    </row>
    <row r="396">
      <c r="B396">
        <f>IF(A396="","",IFERROR(INDEX(Workers!$B$3:$B$51,MATCH(A396,Workers!$A$3:$A$51,0)),"Invalid Worker ID"))</f>
        <v/>
      </c>
      <c r="C396" s="15" t="n"/>
      <c r="E396">
        <f>IF(A396="","",IFERROR(IF(INDEX(Workers!$D$3:$D$51,MATCH(A396,Workers!$A$3:$A$51,0))="Per Day",D396*INDEX(Workers!$E$3:$E$51,MATCH(A396,Workers!$A$3:$A$51,0)),INDEX(Workers!$E$3:$E$51,MATCH(A396,Workers!$A$3:$A$51,0))),"Invalid Worker ID"))</f>
        <v/>
      </c>
      <c r="G396">
        <f>IF(OR(A396="",E396="Invalid Worker ID"),"",E396-F396)</f>
        <v/>
      </c>
      <c r="H396">
        <f>IF(A396="","",IFERROR(INDEX(Workers!$F$3:$F$51,MATCH(A396,Workers!$A$3:$A$51,0)),"Invalid Worker ID"))</f>
        <v/>
      </c>
      <c r="K396">
        <f>A396&amp;"|"&amp;C396</f>
        <v/>
      </c>
    </row>
    <row r="397">
      <c r="B397">
        <f>IF(A397="","",IFERROR(INDEX(Workers!$B$3:$B$51,MATCH(A397,Workers!$A$3:$A$51,0)),"Invalid Worker ID"))</f>
        <v/>
      </c>
      <c r="C397" s="15" t="n"/>
      <c r="E397">
        <f>IF(A397="","",IFERROR(IF(INDEX(Workers!$D$3:$D$51,MATCH(A397,Workers!$A$3:$A$51,0))="Per Day",D397*INDEX(Workers!$E$3:$E$51,MATCH(A397,Workers!$A$3:$A$51,0)),INDEX(Workers!$E$3:$E$51,MATCH(A397,Workers!$A$3:$A$51,0))),"Invalid Worker ID"))</f>
        <v/>
      </c>
      <c r="G397">
        <f>IF(OR(A397="",E397="Invalid Worker ID"),"",E397-F397)</f>
        <v/>
      </c>
      <c r="H397">
        <f>IF(A397="","",IFERROR(INDEX(Workers!$F$3:$F$51,MATCH(A397,Workers!$A$3:$A$51,0)),"Invalid Worker ID"))</f>
        <v/>
      </c>
      <c r="K397">
        <f>A397&amp;"|"&amp;C397</f>
        <v/>
      </c>
    </row>
    <row r="398">
      <c r="B398">
        <f>IF(A398="","",IFERROR(INDEX(Workers!$B$3:$B$51,MATCH(A398,Workers!$A$3:$A$51,0)),"Invalid Worker ID"))</f>
        <v/>
      </c>
      <c r="C398" s="15" t="n"/>
      <c r="E398">
        <f>IF(A398="","",IFERROR(IF(INDEX(Workers!$D$3:$D$51,MATCH(A398,Workers!$A$3:$A$51,0))="Per Day",D398*INDEX(Workers!$E$3:$E$51,MATCH(A398,Workers!$A$3:$A$51,0)),INDEX(Workers!$E$3:$E$51,MATCH(A398,Workers!$A$3:$A$51,0))),"Invalid Worker ID"))</f>
        <v/>
      </c>
      <c r="G398">
        <f>IF(OR(A398="",E398="Invalid Worker ID"),"",E398-F398)</f>
        <v/>
      </c>
      <c r="H398">
        <f>IF(A398="","",IFERROR(INDEX(Workers!$F$3:$F$51,MATCH(A398,Workers!$A$3:$A$51,0)),"Invalid Worker ID"))</f>
        <v/>
      </c>
      <c r="K398">
        <f>A398&amp;"|"&amp;C398</f>
        <v/>
      </c>
    </row>
    <row r="399">
      <c r="B399">
        <f>IF(A399="","",IFERROR(INDEX(Workers!$B$3:$B$51,MATCH(A399,Workers!$A$3:$A$51,0)),"Invalid Worker ID"))</f>
        <v/>
      </c>
      <c r="C399" s="15" t="n"/>
      <c r="E399">
        <f>IF(A399="","",IFERROR(IF(INDEX(Workers!$D$3:$D$51,MATCH(A399,Workers!$A$3:$A$51,0))="Per Day",D399*INDEX(Workers!$E$3:$E$51,MATCH(A399,Workers!$A$3:$A$51,0)),INDEX(Workers!$E$3:$E$51,MATCH(A399,Workers!$A$3:$A$51,0))),"Invalid Worker ID"))</f>
        <v/>
      </c>
      <c r="G399">
        <f>IF(OR(A399="",E399="Invalid Worker ID"),"",E399-F399)</f>
        <v/>
      </c>
      <c r="H399">
        <f>IF(A399="","",IFERROR(INDEX(Workers!$F$3:$F$51,MATCH(A399,Workers!$A$3:$A$51,0)),"Invalid Worker ID"))</f>
        <v/>
      </c>
      <c r="K399">
        <f>A399&amp;"|"&amp;C399</f>
        <v/>
      </c>
    </row>
    <row r="400">
      <c r="B400">
        <f>IF(A400="","",IFERROR(INDEX(Workers!$B$3:$B$51,MATCH(A400,Workers!$A$3:$A$51,0)),"Invalid Worker ID"))</f>
        <v/>
      </c>
      <c r="C400" s="15" t="n"/>
      <c r="E400">
        <f>IF(A400="","",IFERROR(IF(INDEX(Workers!$D$3:$D$51,MATCH(A400,Workers!$A$3:$A$51,0))="Per Day",D400*INDEX(Workers!$E$3:$E$51,MATCH(A400,Workers!$A$3:$A$51,0)),INDEX(Workers!$E$3:$E$51,MATCH(A400,Workers!$A$3:$A$51,0))),"Invalid Worker ID"))</f>
        <v/>
      </c>
      <c r="G400">
        <f>IF(OR(A400="",E400="Invalid Worker ID"),"",E400-F400)</f>
        <v/>
      </c>
      <c r="H400">
        <f>IF(A400="","",IFERROR(INDEX(Workers!$F$3:$F$51,MATCH(A400,Workers!$A$3:$A$51,0)),"Invalid Worker ID"))</f>
        <v/>
      </c>
      <c r="K400">
        <f>A400&amp;"|"&amp;C400</f>
        <v/>
      </c>
    </row>
    <row r="401">
      <c r="B401">
        <f>IF(A401="","",IFERROR(INDEX(Workers!$B$3:$B$51,MATCH(A401,Workers!$A$3:$A$51,0)),"Invalid Worker ID"))</f>
        <v/>
      </c>
      <c r="C401" s="15" t="n"/>
      <c r="E401">
        <f>IF(A401="","",IFERROR(IF(INDEX(Workers!$D$3:$D$51,MATCH(A401,Workers!$A$3:$A$51,0))="Per Day",D401*INDEX(Workers!$E$3:$E$51,MATCH(A401,Workers!$A$3:$A$51,0)),INDEX(Workers!$E$3:$E$51,MATCH(A401,Workers!$A$3:$A$51,0))),"Invalid Worker ID"))</f>
        <v/>
      </c>
      <c r="G401">
        <f>IF(OR(A401="",E401="Invalid Worker ID"),"",E401-F401)</f>
        <v/>
      </c>
      <c r="H401">
        <f>IF(A401="","",IFERROR(INDEX(Workers!$F$3:$F$51,MATCH(A401,Workers!$A$3:$A$51,0)),"Invalid Worker ID"))</f>
        <v/>
      </c>
      <c r="K401">
        <f>A401&amp;"|"&amp;C401</f>
        <v/>
      </c>
    </row>
    <row r="402">
      <c r="B402">
        <f>IF(A402="","",IFERROR(INDEX(Workers!$B$3:$B$51,MATCH(A402,Workers!$A$3:$A$51,0)),"Invalid Worker ID"))</f>
        <v/>
      </c>
      <c r="C402" s="15" t="n"/>
      <c r="E402">
        <f>IF(A402="","",IFERROR(IF(INDEX(Workers!$D$3:$D$51,MATCH(A402,Workers!$A$3:$A$51,0))="Per Day",D402*INDEX(Workers!$E$3:$E$51,MATCH(A402,Workers!$A$3:$A$51,0)),INDEX(Workers!$E$3:$E$51,MATCH(A402,Workers!$A$3:$A$51,0))),"Invalid Worker ID"))</f>
        <v/>
      </c>
      <c r="G402">
        <f>IF(OR(A402="",E402="Invalid Worker ID"),"",E402-F402)</f>
        <v/>
      </c>
      <c r="H402">
        <f>IF(A402="","",IFERROR(INDEX(Workers!$F$3:$F$51,MATCH(A402,Workers!$A$3:$A$51,0)),"Invalid Worker ID"))</f>
        <v/>
      </c>
      <c r="K402">
        <f>A402&amp;"|"&amp;C402</f>
        <v/>
      </c>
    </row>
    <row r="403">
      <c r="B403">
        <f>IF(A403="","",IFERROR(INDEX(Workers!$B$3:$B$51,MATCH(A403,Workers!$A$3:$A$51,0)),"Invalid Worker ID"))</f>
        <v/>
      </c>
      <c r="C403" s="15" t="n"/>
      <c r="E403">
        <f>IF(A403="","",IFERROR(IF(INDEX(Workers!$D$3:$D$51,MATCH(A403,Workers!$A$3:$A$51,0))="Per Day",D403*INDEX(Workers!$E$3:$E$51,MATCH(A403,Workers!$A$3:$A$51,0)),INDEX(Workers!$E$3:$E$51,MATCH(A403,Workers!$A$3:$A$51,0))),"Invalid Worker ID"))</f>
        <v/>
      </c>
      <c r="G403">
        <f>IF(OR(A403="",E403="Invalid Worker ID"),"",E403-F403)</f>
        <v/>
      </c>
      <c r="H403">
        <f>IF(A403="","",IFERROR(INDEX(Workers!$F$3:$F$51,MATCH(A403,Workers!$A$3:$A$51,0)),"Invalid Worker ID"))</f>
        <v/>
      </c>
      <c r="K403">
        <f>A403&amp;"|"&amp;C403</f>
        <v/>
      </c>
    </row>
    <row r="404">
      <c r="B404">
        <f>IF(A404="","",IFERROR(INDEX(Workers!$B$3:$B$51,MATCH(A404,Workers!$A$3:$A$51,0)),"Invalid Worker ID"))</f>
        <v/>
      </c>
      <c r="C404" s="15" t="n"/>
      <c r="E404">
        <f>IF(A404="","",IFERROR(IF(INDEX(Workers!$D$3:$D$51,MATCH(A404,Workers!$A$3:$A$51,0))="Per Day",D404*INDEX(Workers!$E$3:$E$51,MATCH(A404,Workers!$A$3:$A$51,0)),INDEX(Workers!$E$3:$E$51,MATCH(A404,Workers!$A$3:$A$51,0))),"Invalid Worker ID"))</f>
        <v/>
      </c>
      <c r="G404">
        <f>IF(OR(A404="",E404="Invalid Worker ID"),"",E404-F404)</f>
        <v/>
      </c>
      <c r="H404">
        <f>IF(A404="","",IFERROR(INDEX(Workers!$F$3:$F$51,MATCH(A404,Workers!$A$3:$A$51,0)),"Invalid Worker ID"))</f>
        <v/>
      </c>
      <c r="K404">
        <f>A404&amp;"|"&amp;C404</f>
        <v/>
      </c>
    </row>
    <row r="405">
      <c r="B405">
        <f>IF(A405="","",IFERROR(INDEX(Workers!$B$3:$B$51,MATCH(A405,Workers!$A$3:$A$51,0)),"Invalid Worker ID"))</f>
        <v/>
      </c>
      <c r="C405" s="15" t="n"/>
      <c r="E405">
        <f>IF(A405="","",IFERROR(IF(INDEX(Workers!$D$3:$D$51,MATCH(A405,Workers!$A$3:$A$51,0))="Per Day",D405*INDEX(Workers!$E$3:$E$51,MATCH(A405,Workers!$A$3:$A$51,0)),INDEX(Workers!$E$3:$E$51,MATCH(A405,Workers!$A$3:$A$51,0))),"Invalid Worker ID"))</f>
        <v/>
      </c>
      <c r="G405">
        <f>IF(OR(A405="",E405="Invalid Worker ID"),"",E405-F405)</f>
        <v/>
      </c>
      <c r="H405">
        <f>IF(A405="","",IFERROR(INDEX(Workers!$F$3:$F$51,MATCH(A405,Workers!$A$3:$A$51,0)),"Invalid Worker ID"))</f>
        <v/>
      </c>
      <c r="K405">
        <f>A405&amp;"|"&amp;C405</f>
        <v/>
      </c>
    </row>
    <row r="406">
      <c r="B406">
        <f>IF(A406="","",IFERROR(INDEX(Workers!$B$3:$B$51,MATCH(A406,Workers!$A$3:$A$51,0)),"Invalid Worker ID"))</f>
        <v/>
      </c>
      <c r="C406" s="15" t="n"/>
      <c r="E406">
        <f>IF(A406="","",IFERROR(IF(INDEX(Workers!$D$3:$D$51,MATCH(A406,Workers!$A$3:$A$51,0))="Per Day",D406*INDEX(Workers!$E$3:$E$51,MATCH(A406,Workers!$A$3:$A$51,0)),INDEX(Workers!$E$3:$E$51,MATCH(A406,Workers!$A$3:$A$51,0))),"Invalid Worker ID"))</f>
        <v/>
      </c>
      <c r="G406">
        <f>IF(OR(A406="",E406="Invalid Worker ID"),"",E406-F406)</f>
        <v/>
      </c>
      <c r="H406">
        <f>IF(A406="","",IFERROR(INDEX(Workers!$F$3:$F$51,MATCH(A406,Workers!$A$3:$A$51,0)),"Invalid Worker ID"))</f>
        <v/>
      </c>
      <c r="K406">
        <f>A406&amp;"|"&amp;C406</f>
        <v/>
      </c>
    </row>
    <row r="407">
      <c r="B407">
        <f>IF(A407="","",IFERROR(INDEX(Workers!$B$3:$B$51,MATCH(A407,Workers!$A$3:$A$51,0)),"Invalid Worker ID"))</f>
        <v/>
      </c>
      <c r="C407" s="15" t="n"/>
      <c r="E407">
        <f>IF(A407="","",IFERROR(IF(INDEX(Workers!$D$3:$D$51,MATCH(A407,Workers!$A$3:$A$51,0))="Per Day",D407*INDEX(Workers!$E$3:$E$51,MATCH(A407,Workers!$A$3:$A$51,0)),INDEX(Workers!$E$3:$E$51,MATCH(A407,Workers!$A$3:$A$51,0))),"Invalid Worker ID"))</f>
        <v/>
      </c>
      <c r="G407">
        <f>IF(OR(A407="",E407="Invalid Worker ID"),"",E407-F407)</f>
        <v/>
      </c>
      <c r="H407">
        <f>IF(A407="","",IFERROR(INDEX(Workers!$F$3:$F$51,MATCH(A407,Workers!$A$3:$A$51,0)),"Invalid Worker ID"))</f>
        <v/>
      </c>
      <c r="K407">
        <f>A407&amp;"|"&amp;C407</f>
        <v/>
      </c>
    </row>
    <row r="408">
      <c r="B408">
        <f>IF(A408="","",IFERROR(INDEX(Workers!$B$3:$B$51,MATCH(A408,Workers!$A$3:$A$51,0)),"Invalid Worker ID"))</f>
        <v/>
      </c>
      <c r="C408" s="15" t="n"/>
      <c r="E408">
        <f>IF(A408="","",IFERROR(IF(INDEX(Workers!$D$3:$D$51,MATCH(A408,Workers!$A$3:$A$51,0))="Per Day",D408*INDEX(Workers!$E$3:$E$51,MATCH(A408,Workers!$A$3:$A$51,0)),INDEX(Workers!$E$3:$E$51,MATCH(A408,Workers!$A$3:$A$51,0))),"Invalid Worker ID"))</f>
        <v/>
      </c>
      <c r="G408">
        <f>IF(OR(A408="",E408="Invalid Worker ID"),"",E408-F408)</f>
        <v/>
      </c>
      <c r="H408">
        <f>IF(A408="","",IFERROR(INDEX(Workers!$F$3:$F$51,MATCH(A408,Workers!$A$3:$A$51,0)),"Invalid Worker ID"))</f>
        <v/>
      </c>
      <c r="K408">
        <f>A408&amp;"|"&amp;C408</f>
        <v/>
      </c>
    </row>
    <row r="409">
      <c r="B409">
        <f>IF(A409="","",IFERROR(INDEX(Workers!$B$3:$B$51,MATCH(A409,Workers!$A$3:$A$51,0)),"Invalid Worker ID"))</f>
        <v/>
      </c>
      <c r="C409" s="15" t="n"/>
      <c r="E409">
        <f>IF(A409="","",IFERROR(IF(INDEX(Workers!$D$3:$D$51,MATCH(A409,Workers!$A$3:$A$51,0))="Per Day",D409*INDEX(Workers!$E$3:$E$51,MATCH(A409,Workers!$A$3:$A$51,0)),INDEX(Workers!$E$3:$E$51,MATCH(A409,Workers!$A$3:$A$51,0))),"Invalid Worker ID"))</f>
        <v/>
      </c>
      <c r="G409">
        <f>IF(OR(A409="",E409="Invalid Worker ID"),"",E409-F409)</f>
        <v/>
      </c>
      <c r="H409">
        <f>IF(A409="","",IFERROR(INDEX(Workers!$F$3:$F$51,MATCH(A409,Workers!$A$3:$A$51,0)),"Invalid Worker ID"))</f>
        <v/>
      </c>
      <c r="K409">
        <f>A409&amp;"|"&amp;C409</f>
        <v/>
      </c>
    </row>
    <row r="410">
      <c r="B410">
        <f>IF(A410="","",IFERROR(INDEX(Workers!$B$3:$B$51,MATCH(A410,Workers!$A$3:$A$51,0)),"Invalid Worker ID"))</f>
        <v/>
      </c>
      <c r="C410" s="15" t="n"/>
      <c r="E410">
        <f>IF(A410="","",IFERROR(IF(INDEX(Workers!$D$3:$D$51,MATCH(A410,Workers!$A$3:$A$51,0))="Per Day",D410*INDEX(Workers!$E$3:$E$51,MATCH(A410,Workers!$A$3:$A$51,0)),INDEX(Workers!$E$3:$E$51,MATCH(A410,Workers!$A$3:$A$51,0))),"Invalid Worker ID"))</f>
        <v/>
      </c>
      <c r="G410">
        <f>IF(OR(A410="",E410="Invalid Worker ID"),"",E410-F410)</f>
        <v/>
      </c>
      <c r="H410">
        <f>IF(A410="","",IFERROR(INDEX(Workers!$F$3:$F$51,MATCH(A410,Workers!$A$3:$A$51,0)),"Invalid Worker ID"))</f>
        <v/>
      </c>
      <c r="K410">
        <f>A410&amp;"|"&amp;C410</f>
        <v/>
      </c>
    </row>
    <row r="411">
      <c r="B411">
        <f>IF(A411="","",IFERROR(INDEX(Workers!$B$3:$B$51,MATCH(A411,Workers!$A$3:$A$51,0)),"Invalid Worker ID"))</f>
        <v/>
      </c>
      <c r="C411" s="15" t="n"/>
      <c r="E411">
        <f>IF(A411="","",IFERROR(IF(INDEX(Workers!$D$3:$D$51,MATCH(A411,Workers!$A$3:$A$51,0))="Per Day",D411*INDEX(Workers!$E$3:$E$51,MATCH(A411,Workers!$A$3:$A$51,0)),INDEX(Workers!$E$3:$E$51,MATCH(A411,Workers!$A$3:$A$51,0))),"Invalid Worker ID"))</f>
        <v/>
      </c>
      <c r="G411">
        <f>IF(OR(A411="",E411="Invalid Worker ID"),"",E411-F411)</f>
        <v/>
      </c>
      <c r="H411">
        <f>IF(A411="","",IFERROR(INDEX(Workers!$F$3:$F$51,MATCH(A411,Workers!$A$3:$A$51,0)),"Invalid Worker ID"))</f>
        <v/>
      </c>
      <c r="K411">
        <f>A411&amp;"|"&amp;C411</f>
        <v/>
      </c>
    </row>
    <row r="412">
      <c r="B412">
        <f>IF(A412="","",IFERROR(INDEX(Workers!$B$3:$B$51,MATCH(A412,Workers!$A$3:$A$51,0)),"Invalid Worker ID"))</f>
        <v/>
      </c>
      <c r="C412" s="15" t="n"/>
      <c r="E412">
        <f>IF(A412="","",IFERROR(IF(INDEX(Workers!$D$3:$D$51,MATCH(A412,Workers!$A$3:$A$51,0))="Per Day",D412*INDEX(Workers!$E$3:$E$51,MATCH(A412,Workers!$A$3:$A$51,0)),INDEX(Workers!$E$3:$E$51,MATCH(A412,Workers!$A$3:$A$51,0))),"Invalid Worker ID"))</f>
        <v/>
      </c>
      <c r="G412">
        <f>IF(OR(A412="",E412="Invalid Worker ID"),"",E412-F412)</f>
        <v/>
      </c>
      <c r="H412">
        <f>IF(A412="","",IFERROR(INDEX(Workers!$F$3:$F$51,MATCH(A412,Workers!$A$3:$A$51,0)),"Invalid Worker ID"))</f>
        <v/>
      </c>
      <c r="K412">
        <f>A412&amp;"|"&amp;C412</f>
        <v/>
      </c>
    </row>
    <row r="413">
      <c r="B413">
        <f>IF(A413="","",IFERROR(INDEX(Workers!$B$3:$B$51,MATCH(A413,Workers!$A$3:$A$51,0)),"Invalid Worker ID"))</f>
        <v/>
      </c>
      <c r="C413" s="15" t="n"/>
      <c r="E413">
        <f>IF(A413="","",IFERROR(IF(INDEX(Workers!$D$3:$D$51,MATCH(A413,Workers!$A$3:$A$51,0))="Per Day",D413*INDEX(Workers!$E$3:$E$51,MATCH(A413,Workers!$A$3:$A$51,0)),INDEX(Workers!$E$3:$E$51,MATCH(A413,Workers!$A$3:$A$51,0))),"Invalid Worker ID"))</f>
        <v/>
      </c>
      <c r="G413">
        <f>IF(OR(A413="",E413="Invalid Worker ID"),"",E413-F413)</f>
        <v/>
      </c>
      <c r="H413">
        <f>IF(A413="","",IFERROR(INDEX(Workers!$F$3:$F$51,MATCH(A413,Workers!$A$3:$A$51,0)),"Invalid Worker ID"))</f>
        <v/>
      </c>
      <c r="K413">
        <f>A413&amp;"|"&amp;C413</f>
        <v/>
      </c>
    </row>
    <row r="414">
      <c r="B414">
        <f>IF(A414="","",IFERROR(INDEX(Workers!$B$3:$B$51,MATCH(A414,Workers!$A$3:$A$51,0)),"Invalid Worker ID"))</f>
        <v/>
      </c>
      <c r="C414" s="15" t="n"/>
      <c r="E414">
        <f>IF(A414="","",IFERROR(IF(INDEX(Workers!$D$3:$D$51,MATCH(A414,Workers!$A$3:$A$51,0))="Per Day",D414*INDEX(Workers!$E$3:$E$51,MATCH(A414,Workers!$A$3:$A$51,0)),INDEX(Workers!$E$3:$E$51,MATCH(A414,Workers!$A$3:$A$51,0))),"Invalid Worker ID"))</f>
        <v/>
      </c>
      <c r="G414">
        <f>IF(OR(A414="",E414="Invalid Worker ID"),"",E414-F414)</f>
        <v/>
      </c>
      <c r="H414">
        <f>IF(A414="","",IFERROR(INDEX(Workers!$F$3:$F$51,MATCH(A414,Workers!$A$3:$A$51,0)),"Invalid Worker ID"))</f>
        <v/>
      </c>
      <c r="K414">
        <f>A414&amp;"|"&amp;C414</f>
        <v/>
      </c>
    </row>
    <row r="415">
      <c r="B415">
        <f>IF(A415="","",IFERROR(INDEX(Workers!$B$3:$B$51,MATCH(A415,Workers!$A$3:$A$51,0)),"Invalid Worker ID"))</f>
        <v/>
      </c>
      <c r="C415" s="15" t="n"/>
      <c r="E415">
        <f>IF(A415="","",IFERROR(IF(INDEX(Workers!$D$3:$D$51,MATCH(A415,Workers!$A$3:$A$51,0))="Per Day",D415*INDEX(Workers!$E$3:$E$51,MATCH(A415,Workers!$A$3:$A$51,0)),INDEX(Workers!$E$3:$E$51,MATCH(A415,Workers!$A$3:$A$51,0))),"Invalid Worker ID"))</f>
        <v/>
      </c>
      <c r="G415">
        <f>IF(OR(A415="",E415="Invalid Worker ID"),"",E415-F415)</f>
        <v/>
      </c>
      <c r="H415">
        <f>IF(A415="","",IFERROR(INDEX(Workers!$F$3:$F$51,MATCH(A415,Workers!$A$3:$A$51,0)),"Invalid Worker ID"))</f>
        <v/>
      </c>
      <c r="K415">
        <f>A415&amp;"|"&amp;C415</f>
        <v/>
      </c>
    </row>
    <row r="416">
      <c r="B416">
        <f>IF(A416="","",IFERROR(INDEX(Workers!$B$3:$B$51,MATCH(A416,Workers!$A$3:$A$51,0)),"Invalid Worker ID"))</f>
        <v/>
      </c>
      <c r="C416" s="15" t="n"/>
      <c r="E416">
        <f>IF(A416="","",IFERROR(IF(INDEX(Workers!$D$3:$D$51,MATCH(A416,Workers!$A$3:$A$51,0))="Per Day",D416*INDEX(Workers!$E$3:$E$51,MATCH(A416,Workers!$A$3:$A$51,0)),INDEX(Workers!$E$3:$E$51,MATCH(A416,Workers!$A$3:$A$51,0))),"Invalid Worker ID"))</f>
        <v/>
      </c>
      <c r="G416">
        <f>IF(OR(A416="",E416="Invalid Worker ID"),"",E416-F416)</f>
        <v/>
      </c>
      <c r="H416">
        <f>IF(A416="","",IFERROR(INDEX(Workers!$F$3:$F$51,MATCH(A416,Workers!$A$3:$A$51,0)),"Invalid Worker ID"))</f>
        <v/>
      </c>
      <c r="K416">
        <f>A416&amp;"|"&amp;C416</f>
        <v/>
      </c>
    </row>
    <row r="417">
      <c r="B417">
        <f>IF(A417="","",IFERROR(INDEX(Workers!$B$3:$B$51,MATCH(A417,Workers!$A$3:$A$51,0)),"Invalid Worker ID"))</f>
        <v/>
      </c>
      <c r="C417" s="15" t="n"/>
      <c r="E417">
        <f>IF(A417="","",IFERROR(IF(INDEX(Workers!$D$3:$D$51,MATCH(A417,Workers!$A$3:$A$51,0))="Per Day",D417*INDEX(Workers!$E$3:$E$51,MATCH(A417,Workers!$A$3:$A$51,0)),INDEX(Workers!$E$3:$E$51,MATCH(A417,Workers!$A$3:$A$51,0))),"Invalid Worker ID"))</f>
        <v/>
      </c>
      <c r="G417">
        <f>IF(OR(A417="",E417="Invalid Worker ID"),"",E417-F417)</f>
        <v/>
      </c>
      <c r="H417">
        <f>IF(A417="","",IFERROR(INDEX(Workers!$F$3:$F$51,MATCH(A417,Workers!$A$3:$A$51,0)),"Invalid Worker ID"))</f>
        <v/>
      </c>
      <c r="K417">
        <f>A417&amp;"|"&amp;C417</f>
        <v/>
      </c>
    </row>
    <row r="418">
      <c r="B418">
        <f>IF(A418="","",IFERROR(INDEX(Workers!$B$3:$B$51,MATCH(A418,Workers!$A$3:$A$51,0)),"Invalid Worker ID"))</f>
        <v/>
      </c>
      <c r="C418" s="15" t="n"/>
      <c r="E418">
        <f>IF(A418="","",IFERROR(IF(INDEX(Workers!$D$3:$D$51,MATCH(A418,Workers!$A$3:$A$51,0))="Per Day",D418*INDEX(Workers!$E$3:$E$51,MATCH(A418,Workers!$A$3:$A$51,0)),INDEX(Workers!$E$3:$E$51,MATCH(A418,Workers!$A$3:$A$51,0))),"Invalid Worker ID"))</f>
        <v/>
      </c>
      <c r="G418">
        <f>IF(OR(A418="",E418="Invalid Worker ID"),"",E418-F418)</f>
        <v/>
      </c>
      <c r="H418">
        <f>IF(A418="","",IFERROR(INDEX(Workers!$F$3:$F$51,MATCH(A418,Workers!$A$3:$A$51,0)),"Invalid Worker ID"))</f>
        <v/>
      </c>
      <c r="K418">
        <f>A418&amp;"|"&amp;C418</f>
        <v/>
      </c>
    </row>
    <row r="419">
      <c r="B419">
        <f>IF(A419="","",IFERROR(INDEX(Workers!$B$3:$B$51,MATCH(A419,Workers!$A$3:$A$51,0)),"Invalid Worker ID"))</f>
        <v/>
      </c>
      <c r="C419" s="15" t="n"/>
      <c r="E419">
        <f>IF(A419="","",IFERROR(IF(INDEX(Workers!$D$3:$D$51,MATCH(A419,Workers!$A$3:$A$51,0))="Per Day",D419*INDEX(Workers!$E$3:$E$51,MATCH(A419,Workers!$A$3:$A$51,0)),INDEX(Workers!$E$3:$E$51,MATCH(A419,Workers!$A$3:$A$51,0))),"Invalid Worker ID"))</f>
        <v/>
      </c>
      <c r="G419">
        <f>IF(OR(A419="",E419="Invalid Worker ID"),"",E419-F419)</f>
        <v/>
      </c>
      <c r="H419">
        <f>IF(A419="","",IFERROR(INDEX(Workers!$F$3:$F$51,MATCH(A419,Workers!$A$3:$A$51,0)),"Invalid Worker ID"))</f>
        <v/>
      </c>
      <c r="K419">
        <f>A419&amp;"|"&amp;C419</f>
        <v/>
      </c>
    </row>
    <row r="420">
      <c r="B420">
        <f>IF(A420="","",IFERROR(INDEX(Workers!$B$3:$B$51,MATCH(A420,Workers!$A$3:$A$51,0)),"Invalid Worker ID"))</f>
        <v/>
      </c>
      <c r="C420" s="15" t="n"/>
      <c r="E420">
        <f>IF(A420="","",IFERROR(IF(INDEX(Workers!$D$3:$D$51,MATCH(A420,Workers!$A$3:$A$51,0))="Per Day",D420*INDEX(Workers!$E$3:$E$51,MATCH(A420,Workers!$A$3:$A$51,0)),INDEX(Workers!$E$3:$E$51,MATCH(A420,Workers!$A$3:$A$51,0))),"Invalid Worker ID"))</f>
        <v/>
      </c>
      <c r="G420">
        <f>IF(OR(A420="",E420="Invalid Worker ID"),"",E420-F420)</f>
        <v/>
      </c>
      <c r="H420">
        <f>IF(A420="","",IFERROR(INDEX(Workers!$F$3:$F$51,MATCH(A420,Workers!$A$3:$A$51,0)),"Invalid Worker ID"))</f>
        <v/>
      </c>
      <c r="K420">
        <f>A420&amp;"|"&amp;C420</f>
        <v/>
      </c>
    </row>
    <row r="421">
      <c r="B421">
        <f>IF(A421="","",IFERROR(INDEX(Workers!$B$3:$B$51,MATCH(A421,Workers!$A$3:$A$51,0)),"Invalid Worker ID"))</f>
        <v/>
      </c>
      <c r="C421" s="15" t="n"/>
      <c r="E421">
        <f>IF(A421="","",IFERROR(IF(INDEX(Workers!$D$3:$D$51,MATCH(A421,Workers!$A$3:$A$51,0))="Per Day",D421*INDEX(Workers!$E$3:$E$51,MATCH(A421,Workers!$A$3:$A$51,0)),INDEX(Workers!$E$3:$E$51,MATCH(A421,Workers!$A$3:$A$51,0))),"Invalid Worker ID"))</f>
        <v/>
      </c>
      <c r="G421">
        <f>IF(OR(A421="",E421="Invalid Worker ID"),"",E421-F421)</f>
        <v/>
      </c>
      <c r="H421">
        <f>IF(A421="","",IFERROR(INDEX(Workers!$F$3:$F$51,MATCH(A421,Workers!$A$3:$A$51,0)),"Invalid Worker ID"))</f>
        <v/>
      </c>
      <c r="K421">
        <f>A421&amp;"|"&amp;C421</f>
        <v/>
      </c>
    </row>
    <row r="422">
      <c r="B422">
        <f>IF(A422="","",IFERROR(INDEX(Workers!$B$3:$B$51,MATCH(A422,Workers!$A$3:$A$51,0)),"Invalid Worker ID"))</f>
        <v/>
      </c>
      <c r="C422" s="15" t="n"/>
      <c r="E422">
        <f>IF(A422="","",IFERROR(IF(INDEX(Workers!$D$3:$D$51,MATCH(A422,Workers!$A$3:$A$51,0))="Per Day",D422*INDEX(Workers!$E$3:$E$51,MATCH(A422,Workers!$A$3:$A$51,0)),INDEX(Workers!$E$3:$E$51,MATCH(A422,Workers!$A$3:$A$51,0))),"Invalid Worker ID"))</f>
        <v/>
      </c>
      <c r="G422">
        <f>IF(OR(A422="",E422="Invalid Worker ID"),"",E422-F422)</f>
        <v/>
      </c>
      <c r="H422">
        <f>IF(A422="","",IFERROR(INDEX(Workers!$F$3:$F$51,MATCH(A422,Workers!$A$3:$A$51,0)),"Invalid Worker ID"))</f>
        <v/>
      </c>
      <c r="K422">
        <f>A422&amp;"|"&amp;C422</f>
        <v/>
      </c>
    </row>
    <row r="423">
      <c r="B423">
        <f>IF(A423="","",IFERROR(INDEX(Workers!$B$3:$B$51,MATCH(A423,Workers!$A$3:$A$51,0)),"Invalid Worker ID"))</f>
        <v/>
      </c>
      <c r="C423" s="15" t="n"/>
      <c r="E423">
        <f>IF(A423="","",IFERROR(IF(INDEX(Workers!$D$3:$D$51,MATCH(A423,Workers!$A$3:$A$51,0))="Per Day",D423*INDEX(Workers!$E$3:$E$51,MATCH(A423,Workers!$A$3:$A$51,0)),INDEX(Workers!$E$3:$E$51,MATCH(A423,Workers!$A$3:$A$51,0))),"Invalid Worker ID"))</f>
        <v/>
      </c>
      <c r="G423">
        <f>IF(OR(A423="",E423="Invalid Worker ID"),"",E423-F423)</f>
        <v/>
      </c>
      <c r="H423">
        <f>IF(A423="","",IFERROR(INDEX(Workers!$F$3:$F$51,MATCH(A423,Workers!$A$3:$A$51,0)),"Invalid Worker ID"))</f>
        <v/>
      </c>
      <c r="K423">
        <f>A423&amp;"|"&amp;C423</f>
        <v/>
      </c>
    </row>
    <row r="424">
      <c r="B424">
        <f>IF(A424="","",IFERROR(INDEX(Workers!$B$3:$B$51,MATCH(A424,Workers!$A$3:$A$51,0)),"Invalid Worker ID"))</f>
        <v/>
      </c>
      <c r="C424" s="15" t="n"/>
      <c r="E424">
        <f>IF(A424="","",IFERROR(IF(INDEX(Workers!$D$3:$D$51,MATCH(A424,Workers!$A$3:$A$51,0))="Per Day",D424*INDEX(Workers!$E$3:$E$51,MATCH(A424,Workers!$A$3:$A$51,0)),INDEX(Workers!$E$3:$E$51,MATCH(A424,Workers!$A$3:$A$51,0))),"Invalid Worker ID"))</f>
        <v/>
      </c>
      <c r="G424">
        <f>IF(OR(A424="",E424="Invalid Worker ID"),"",E424-F424)</f>
        <v/>
      </c>
      <c r="H424">
        <f>IF(A424="","",IFERROR(INDEX(Workers!$F$3:$F$51,MATCH(A424,Workers!$A$3:$A$51,0)),"Invalid Worker ID"))</f>
        <v/>
      </c>
      <c r="K424">
        <f>A424&amp;"|"&amp;C424</f>
        <v/>
      </c>
    </row>
    <row r="425">
      <c r="B425">
        <f>IF(A425="","",IFERROR(INDEX(Workers!$B$3:$B$51,MATCH(A425,Workers!$A$3:$A$51,0)),"Invalid Worker ID"))</f>
        <v/>
      </c>
      <c r="C425" s="15" t="n"/>
      <c r="E425">
        <f>IF(A425="","",IFERROR(IF(INDEX(Workers!$D$3:$D$51,MATCH(A425,Workers!$A$3:$A$51,0))="Per Day",D425*INDEX(Workers!$E$3:$E$51,MATCH(A425,Workers!$A$3:$A$51,0)),INDEX(Workers!$E$3:$E$51,MATCH(A425,Workers!$A$3:$A$51,0))),"Invalid Worker ID"))</f>
        <v/>
      </c>
      <c r="G425">
        <f>IF(OR(A425="",E425="Invalid Worker ID"),"",E425-F425)</f>
        <v/>
      </c>
      <c r="H425">
        <f>IF(A425="","",IFERROR(INDEX(Workers!$F$3:$F$51,MATCH(A425,Workers!$A$3:$A$51,0)),"Invalid Worker ID"))</f>
        <v/>
      </c>
      <c r="K425">
        <f>A425&amp;"|"&amp;C425</f>
        <v/>
      </c>
    </row>
    <row r="426">
      <c r="B426">
        <f>IF(A426="","",IFERROR(INDEX(Workers!$B$3:$B$51,MATCH(A426,Workers!$A$3:$A$51,0)),"Invalid Worker ID"))</f>
        <v/>
      </c>
      <c r="C426" s="15" t="n"/>
      <c r="E426">
        <f>IF(A426="","",IFERROR(IF(INDEX(Workers!$D$3:$D$51,MATCH(A426,Workers!$A$3:$A$51,0))="Per Day",D426*INDEX(Workers!$E$3:$E$51,MATCH(A426,Workers!$A$3:$A$51,0)),INDEX(Workers!$E$3:$E$51,MATCH(A426,Workers!$A$3:$A$51,0))),"Invalid Worker ID"))</f>
        <v/>
      </c>
      <c r="G426">
        <f>IF(OR(A426="",E426="Invalid Worker ID"),"",E426-F426)</f>
        <v/>
      </c>
      <c r="H426">
        <f>IF(A426="","",IFERROR(INDEX(Workers!$F$3:$F$51,MATCH(A426,Workers!$A$3:$A$51,0)),"Invalid Worker ID"))</f>
        <v/>
      </c>
      <c r="K426">
        <f>A426&amp;"|"&amp;C426</f>
        <v/>
      </c>
    </row>
    <row r="427">
      <c r="B427">
        <f>IF(A427="","",IFERROR(INDEX(Workers!$B$3:$B$51,MATCH(A427,Workers!$A$3:$A$51,0)),"Invalid Worker ID"))</f>
        <v/>
      </c>
      <c r="C427" s="15" t="n"/>
      <c r="E427">
        <f>IF(A427="","",IFERROR(IF(INDEX(Workers!$D$3:$D$51,MATCH(A427,Workers!$A$3:$A$51,0))="Per Day",D427*INDEX(Workers!$E$3:$E$51,MATCH(A427,Workers!$A$3:$A$51,0)),INDEX(Workers!$E$3:$E$51,MATCH(A427,Workers!$A$3:$A$51,0))),"Invalid Worker ID"))</f>
        <v/>
      </c>
      <c r="G427">
        <f>IF(OR(A427="",E427="Invalid Worker ID"),"",E427-F427)</f>
        <v/>
      </c>
      <c r="H427">
        <f>IF(A427="","",IFERROR(INDEX(Workers!$F$3:$F$51,MATCH(A427,Workers!$A$3:$A$51,0)),"Invalid Worker ID"))</f>
        <v/>
      </c>
      <c r="K427">
        <f>A427&amp;"|"&amp;C427</f>
        <v/>
      </c>
    </row>
    <row r="428">
      <c r="B428">
        <f>IF(A428="","",IFERROR(INDEX(Workers!$B$3:$B$51,MATCH(A428,Workers!$A$3:$A$51,0)),"Invalid Worker ID"))</f>
        <v/>
      </c>
      <c r="C428" s="15" t="n"/>
      <c r="E428">
        <f>IF(A428="","",IFERROR(IF(INDEX(Workers!$D$3:$D$51,MATCH(A428,Workers!$A$3:$A$51,0))="Per Day",D428*INDEX(Workers!$E$3:$E$51,MATCH(A428,Workers!$A$3:$A$51,0)),INDEX(Workers!$E$3:$E$51,MATCH(A428,Workers!$A$3:$A$51,0))),"Invalid Worker ID"))</f>
        <v/>
      </c>
      <c r="G428">
        <f>IF(OR(A428="",E428="Invalid Worker ID"),"",E428-F428)</f>
        <v/>
      </c>
      <c r="H428">
        <f>IF(A428="","",IFERROR(INDEX(Workers!$F$3:$F$51,MATCH(A428,Workers!$A$3:$A$51,0)),"Invalid Worker ID"))</f>
        <v/>
      </c>
      <c r="K428">
        <f>A428&amp;"|"&amp;C428</f>
        <v/>
      </c>
    </row>
    <row r="429">
      <c r="B429">
        <f>IF(A429="","",IFERROR(INDEX(Workers!$B$3:$B$51,MATCH(A429,Workers!$A$3:$A$51,0)),"Invalid Worker ID"))</f>
        <v/>
      </c>
      <c r="C429" s="15" t="n"/>
      <c r="E429">
        <f>IF(A429="","",IFERROR(IF(INDEX(Workers!$D$3:$D$51,MATCH(A429,Workers!$A$3:$A$51,0))="Per Day",D429*INDEX(Workers!$E$3:$E$51,MATCH(A429,Workers!$A$3:$A$51,0)),INDEX(Workers!$E$3:$E$51,MATCH(A429,Workers!$A$3:$A$51,0))),"Invalid Worker ID"))</f>
        <v/>
      </c>
      <c r="G429">
        <f>IF(OR(A429="",E429="Invalid Worker ID"),"",E429-F429)</f>
        <v/>
      </c>
      <c r="H429">
        <f>IF(A429="","",IFERROR(INDEX(Workers!$F$3:$F$51,MATCH(A429,Workers!$A$3:$A$51,0)),"Invalid Worker ID"))</f>
        <v/>
      </c>
      <c r="K429">
        <f>A429&amp;"|"&amp;C429</f>
        <v/>
      </c>
    </row>
    <row r="430">
      <c r="B430">
        <f>IF(A430="","",IFERROR(INDEX(Workers!$B$3:$B$51,MATCH(A430,Workers!$A$3:$A$51,0)),"Invalid Worker ID"))</f>
        <v/>
      </c>
      <c r="C430" s="15" t="n"/>
      <c r="E430">
        <f>IF(A430="","",IFERROR(IF(INDEX(Workers!$D$3:$D$51,MATCH(A430,Workers!$A$3:$A$51,0))="Per Day",D430*INDEX(Workers!$E$3:$E$51,MATCH(A430,Workers!$A$3:$A$51,0)),INDEX(Workers!$E$3:$E$51,MATCH(A430,Workers!$A$3:$A$51,0))),"Invalid Worker ID"))</f>
        <v/>
      </c>
      <c r="G430">
        <f>IF(OR(A430="",E430="Invalid Worker ID"),"",E430-F430)</f>
        <v/>
      </c>
      <c r="H430">
        <f>IF(A430="","",IFERROR(INDEX(Workers!$F$3:$F$51,MATCH(A430,Workers!$A$3:$A$51,0)),"Invalid Worker ID"))</f>
        <v/>
      </c>
      <c r="K430">
        <f>A430&amp;"|"&amp;C430</f>
        <v/>
      </c>
    </row>
    <row r="431">
      <c r="B431">
        <f>IF(A431="","",IFERROR(INDEX(Workers!$B$3:$B$51,MATCH(A431,Workers!$A$3:$A$51,0)),"Invalid Worker ID"))</f>
        <v/>
      </c>
      <c r="C431" s="15" t="n"/>
      <c r="E431">
        <f>IF(A431="","",IFERROR(IF(INDEX(Workers!$D$3:$D$51,MATCH(A431,Workers!$A$3:$A$51,0))="Per Day",D431*INDEX(Workers!$E$3:$E$51,MATCH(A431,Workers!$A$3:$A$51,0)),INDEX(Workers!$E$3:$E$51,MATCH(A431,Workers!$A$3:$A$51,0))),"Invalid Worker ID"))</f>
        <v/>
      </c>
      <c r="G431">
        <f>IF(OR(A431="",E431="Invalid Worker ID"),"",E431-F431)</f>
        <v/>
      </c>
      <c r="H431">
        <f>IF(A431="","",IFERROR(INDEX(Workers!$F$3:$F$51,MATCH(A431,Workers!$A$3:$A$51,0)),"Invalid Worker ID"))</f>
        <v/>
      </c>
      <c r="K431">
        <f>A431&amp;"|"&amp;C431</f>
        <v/>
      </c>
    </row>
    <row r="432">
      <c r="B432">
        <f>IF(A432="","",IFERROR(INDEX(Workers!$B$3:$B$51,MATCH(A432,Workers!$A$3:$A$51,0)),"Invalid Worker ID"))</f>
        <v/>
      </c>
      <c r="C432" s="15" t="n"/>
      <c r="E432">
        <f>IF(A432="","",IFERROR(IF(INDEX(Workers!$D$3:$D$51,MATCH(A432,Workers!$A$3:$A$51,0))="Per Day",D432*INDEX(Workers!$E$3:$E$51,MATCH(A432,Workers!$A$3:$A$51,0)),INDEX(Workers!$E$3:$E$51,MATCH(A432,Workers!$A$3:$A$51,0))),"Invalid Worker ID"))</f>
        <v/>
      </c>
      <c r="G432">
        <f>IF(OR(A432="",E432="Invalid Worker ID"),"",E432-F432)</f>
        <v/>
      </c>
      <c r="H432">
        <f>IF(A432="","",IFERROR(INDEX(Workers!$F$3:$F$51,MATCH(A432,Workers!$A$3:$A$51,0)),"Invalid Worker ID"))</f>
        <v/>
      </c>
      <c r="K432">
        <f>A432&amp;"|"&amp;C432</f>
        <v/>
      </c>
    </row>
    <row r="433">
      <c r="B433">
        <f>IF(A433="","",IFERROR(INDEX(Workers!$B$3:$B$51,MATCH(A433,Workers!$A$3:$A$51,0)),"Invalid Worker ID"))</f>
        <v/>
      </c>
      <c r="C433" s="15" t="n"/>
      <c r="E433">
        <f>IF(A433="","",IFERROR(IF(INDEX(Workers!$D$3:$D$51,MATCH(A433,Workers!$A$3:$A$51,0))="Per Day",D433*INDEX(Workers!$E$3:$E$51,MATCH(A433,Workers!$A$3:$A$51,0)),INDEX(Workers!$E$3:$E$51,MATCH(A433,Workers!$A$3:$A$51,0))),"Invalid Worker ID"))</f>
        <v/>
      </c>
      <c r="G433">
        <f>IF(OR(A433="",E433="Invalid Worker ID"),"",E433-F433)</f>
        <v/>
      </c>
      <c r="H433">
        <f>IF(A433="","",IFERROR(INDEX(Workers!$F$3:$F$51,MATCH(A433,Workers!$A$3:$A$51,0)),"Invalid Worker ID"))</f>
        <v/>
      </c>
      <c r="K433">
        <f>A433&amp;"|"&amp;C433</f>
        <v/>
      </c>
    </row>
    <row r="434">
      <c r="B434">
        <f>IF(A434="","",IFERROR(INDEX(Workers!$B$3:$B$51,MATCH(A434,Workers!$A$3:$A$51,0)),"Invalid Worker ID"))</f>
        <v/>
      </c>
      <c r="C434" s="15" t="n"/>
      <c r="E434">
        <f>IF(A434="","",IFERROR(IF(INDEX(Workers!$D$3:$D$51,MATCH(A434,Workers!$A$3:$A$51,0))="Per Day",D434*INDEX(Workers!$E$3:$E$51,MATCH(A434,Workers!$A$3:$A$51,0)),INDEX(Workers!$E$3:$E$51,MATCH(A434,Workers!$A$3:$A$51,0))),"Invalid Worker ID"))</f>
        <v/>
      </c>
      <c r="G434">
        <f>IF(OR(A434="",E434="Invalid Worker ID"),"",E434-F434)</f>
        <v/>
      </c>
      <c r="H434">
        <f>IF(A434="","",IFERROR(INDEX(Workers!$F$3:$F$51,MATCH(A434,Workers!$A$3:$A$51,0)),"Invalid Worker ID"))</f>
        <v/>
      </c>
      <c r="K434">
        <f>A434&amp;"|"&amp;C434</f>
        <v/>
      </c>
    </row>
    <row r="435">
      <c r="B435">
        <f>IF(A435="","",IFERROR(INDEX(Workers!$B$3:$B$51,MATCH(A435,Workers!$A$3:$A$51,0)),"Invalid Worker ID"))</f>
        <v/>
      </c>
      <c r="C435" s="15" t="n"/>
      <c r="E435">
        <f>IF(A435="","",IFERROR(IF(INDEX(Workers!$D$3:$D$51,MATCH(A435,Workers!$A$3:$A$51,0))="Per Day",D435*INDEX(Workers!$E$3:$E$51,MATCH(A435,Workers!$A$3:$A$51,0)),INDEX(Workers!$E$3:$E$51,MATCH(A435,Workers!$A$3:$A$51,0))),"Invalid Worker ID"))</f>
        <v/>
      </c>
      <c r="G435">
        <f>IF(OR(A435="",E435="Invalid Worker ID"),"",E435-F435)</f>
        <v/>
      </c>
      <c r="H435">
        <f>IF(A435="","",IFERROR(INDEX(Workers!$F$3:$F$51,MATCH(A435,Workers!$A$3:$A$51,0)),"Invalid Worker ID"))</f>
        <v/>
      </c>
      <c r="K435">
        <f>A435&amp;"|"&amp;C435</f>
        <v/>
      </c>
    </row>
    <row r="436">
      <c r="B436">
        <f>IF(A436="","",IFERROR(INDEX(Workers!$B$3:$B$51,MATCH(A436,Workers!$A$3:$A$51,0)),"Invalid Worker ID"))</f>
        <v/>
      </c>
      <c r="C436" s="15" t="n"/>
      <c r="E436">
        <f>IF(A436="","",IFERROR(IF(INDEX(Workers!$D$3:$D$51,MATCH(A436,Workers!$A$3:$A$51,0))="Per Day",D436*INDEX(Workers!$E$3:$E$51,MATCH(A436,Workers!$A$3:$A$51,0)),INDEX(Workers!$E$3:$E$51,MATCH(A436,Workers!$A$3:$A$51,0))),"Invalid Worker ID"))</f>
        <v/>
      </c>
      <c r="G436">
        <f>IF(OR(A436="",E436="Invalid Worker ID"),"",E436-F436)</f>
        <v/>
      </c>
      <c r="H436">
        <f>IF(A436="","",IFERROR(INDEX(Workers!$F$3:$F$51,MATCH(A436,Workers!$A$3:$A$51,0)),"Invalid Worker ID"))</f>
        <v/>
      </c>
      <c r="K436">
        <f>A436&amp;"|"&amp;C436</f>
        <v/>
      </c>
    </row>
    <row r="437">
      <c r="B437">
        <f>IF(A437="","",IFERROR(INDEX(Workers!$B$3:$B$51,MATCH(A437,Workers!$A$3:$A$51,0)),"Invalid Worker ID"))</f>
        <v/>
      </c>
      <c r="C437" s="15" t="n"/>
      <c r="E437">
        <f>IF(A437="","",IFERROR(IF(INDEX(Workers!$D$3:$D$51,MATCH(A437,Workers!$A$3:$A$51,0))="Per Day",D437*INDEX(Workers!$E$3:$E$51,MATCH(A437,Workers!$A$3:$A$51,0)),INDEX(Workers!$E$3:$E$51,MATCH(A437,Workers!$A$3:$A$51,0))),"Invalid Worker ID"))</f>
        <v/>
      </c>
      <c r="G437">
        <f>IF(OR(A437="",E437="Invalid Worker ID"),"",E437-F437)</f>
        <v/>
      </c>
      <c r="H437">
        <f>IF(A437="","",IFERROR(INDEX(Workers!$F$3:$F$51,MATCH(A437,Workers!$A$3:$A$51,0)),"Invalid Worker ID"))</f>
        <v/>
      </c>
      <c r="K437">
        <f>A437&amp;"|"&amp;C437</f>
        <v/>
      </c>
    </row>
    <row r="438">
      <c r="B438">
        <f>IF(A438="","",IFERROR(INDEX(Workers!$B$3:$B$51,MATCH(A438,Workers!$A$3:$A$51,0)),"Invalid Worker ID"))</f>
        <v/>
      </c>
      <c r="C438" s="15" t="n"/>
      <c r="E438">
        <f>IF(A438="","",IFERROR(IF(INDEX(Workers!$D$3:$D$51,MATCH(A438,Workers!$A$3:$A$51,0))="Per Day",D438*INDEX(Workers!$E$3:$E$51,MATCH(A438,Workers!$A$3:$A$51,0)),INDEX(Workers!$E$3:$E$51,MATCH(A438,Workers!$A$3:$A$51,0))),"Invalid Worker ID"))</f>
        <v/>
      </c>
      <c r="G438">
        <f>IF(OR(A438="",E438="Invalid Worker ID"),"",E438-F438)</f>
        <v/>
      </c>
      <c r="H438">
        <f>IF(A438="","",IFERROR(INDEX(Workers!$F$3:$F$51,MATCH(A438,Workers!$A$3:$A$51,0)),"Invalid Worker ID"))</f>
        <v/>
      </c>
      <c r="K438">
        <f>A438&amp;"|"&amp;C438</f>
        <v/>
      </c>
    </row>
    <row r="439">
      <c r="B439">
        <f>IF(A439="","",IFERROR(INDEX(Workers!$B$3:$B$51,MATCH(A439,Workers!$A$3:$A$51,0)),"Invalid Worker ID"))</f>
        <v/>
      </c>
      <c r="C439" s="15" t="n"/>
      <c r="E439">
        <f>IF(A439="","",IFERROR(IF(INDEX(Workers!$D$3:$D$51,MATCH(A439,Workers!$A$3:$A$51,0))="Per Day",D439*INDEX(Workers!$E$3:$E$51,MATCH(A439,Workers!$A$3:$A$51,0)),INDEX(Workers!$E$3:$E$51,MATCH(A439,Workers!$A$3:$A$51,0))),"Invalid Worker ID"))</f>
        <v/>
      </c>
      <c r="G439">
        <f>IF(OR(A439="",E439="Invalid Worker ID"),"",E439-F439)</f>
        <v/>
      </c>
      <c r="H439">
        <f>IF(A439="","",IFERROR(INDEX(Workers!$F$3:$F$51,MATCH(A439,Workers!$A$3:$A$51,0)),"Invalid Worker ID"))</f>
        <v/>
      </c>
      <c r="K439">
        <f>A439&amp;"|"&amp;C439</f>
        <v/>
      </c>
    </row>
    <row r="440">
      <c r="B440">
        <f>IF(A440="","",IFERROR(INDEX(Workers!$B$3:$B$51,MATCH(A440,Workers!$A$3:$A$51,0)),"Invalid Worker ID"))</f>
        <v/>
      </c>
      <c r="C440" s="15" t="n"/>
      <c r="E440">
        <f>IF(A440="","",IFERROR(IF(INDEX(Workers!$D$3:$D$51,MATCH(A440,Workers!$A$3:$A$51,0))="Per Day",D440*INDEX(Workers!$E$3:$E$51,MATCH(A440,Workers!$A$3:$A$51,0)),INDEX(Workers!$E$3:$E$51,MATCH(A440,Workers!$A$3:$A$51,0))),"Invalid Worker ID"))</f>
        <v/>
      </c>
      <c r="G440">
        <f>IF(OR(A440="",E440="Invalid Worker ID"),"",E440-F440)</f>
        <v/>
      </c>
      <c r="H440">
        <f>IF(A440="","",IFERROR(INDEX(Workers!$F$3:$F$51,MATCH(A440,Workers!$A$3:$A$51,0)),"Invalid Worker ID"))</f>
        <v/>
      </c>
      <c r="K440">
        <f>A440&amp;"|"&amp;C440</f>
        <v/>
      </c>
    </row>
    <row r="441">
      <c r="B441">
        <f>IF(A441="","",IFERROR(INDEX(Workers!$B$3:$B$51,MATCH(A441,Workers!$A$3:$A$51,0)),"Invalid Worker ID"))</f>
        <v/>
      </c>
      <c r="C441" s="15" t="n"/>
      <c r="E441">
        <f>IF(A441="","",IFERROR(IF(INDEX(Workers!$D$3:$D$51,MATCH(A441,Workers!$A$3:$A$51,0))="Per Day",D441*INDEX(Workers!$E$3:$E$51,MATCH(A441,Workers!$A$3:$A$51,0)),INDEX(Workers!$E$3:$E$51,MATCH(A441,Workers!$A$3:$A$51,0))),"Invalid Worker ID"))</f>
        <v/>
      </c>
      <c r="G441">
        <f>IF(OR(A441="",E441="Invalid Worker ID"),"",E441-F441)</f>
        <v/>
      </c>
      <c r="H441">
        <f>IF(A441="","",IFERROR(INDEX(Workers!$F$3:$F$51,MATCH(A441,Workers!$A$3:$A$51,0)),"Invalid Worker ID"))</f>
        <v/>
      </c>
      <c r="K441">
        <f>A441&amp;"|"&amp;C441</f>
        <v/>
      </c>
    </row>
    <row r="442">
      <c r="B442">
        <f>IF(A442="","",IFERROR(INDEX(Workers!$B$3:$B$51,MATCH(A442,Workers!$A$3:$A$51,0)),"Invalid Worker ID"))</f>
        <v/>
      </c>
      <c r="C442" s="15" t="n"/>
      <c r="E442">
        <f>IF(A442="","",IFERROR(IF(INDEX(Workers!$D$3:$D$51,MATCH(A442,Workers!$A$3:$A$51,0))="Per Day",D442*INDEX(Workers!$E$3:$E$51,MATCH(A442,Workers!$A$3:$A$51,0)),INDEX(Workers!$E$3:$E$51,MATCH(A442,Workers!$A$3:$A$51,0))),"Invalid Worker ID"))</f>
        <v/>
      </c>
      <c r="G442">
        <f>IF(OR(A442="",E442="Invalid Worker ID"),"",E442-F442)</f>
        <v/>
      </c>
      <c r="H442">
        <f>IF(A442="","",IFERROR(INDEX(Workers!$F$3:$F$51,MATCH(A442,Workers!$A$3:$A$51,0)),"Invalid Worker ID"))</f>
        <v/>
      </c>
      <c r="K442">
        <f>A442&amp;"|"&amp;C442</f>
        <v/>
      </c>
    </row>
    <row r="443">
      <c r="B443">
        <f>IF(A443="","",IFERROR(INDEX(Workers!$B$3:$B$51,MATCH(A443,Workers!$A$3:$A$51,0)),"Invalid Worker ID"))</f>
        <v/>
      </c>
      <c r="C443" s="15" t="n"/>
      <c r="E443">
        <f>IF(A443="","",IFERROR(IF(INDEX(Workers!$D$3:$D$51,MATCH(A443,Workers!$A$3:$A$51,0))="Per Day",D443*INDEX(Workers!$E$3:$E$51,MATCH(A443,Workers!$A$3:$A$51,0)),INDEX(Workers!$E$3:$E$51,MATCH(A443,Workers!$A$3:$A$51,0))),"Invalid Worker ID"))</f>
        <v/>
      </c>
      <c r="G443">
        <f>IF(OR(A443="",E443="Invalid Worker ID"),"",E443-F443)</f>
        <v/>
      </c>
      <c r="H443">
        <f>IF(A443="","",IFERROR(INDEX(Workers!$F$3:$F$51,MATCH(A443,Workers!$A$3:$A$51,0)),"Invalid Worker ID"))</f>
        <v/>
      </c>
      <c r="K443">
        <f>A443&amp;"|"&amp;C443</f>
        <v/>
      </c>
    </row>
    <row r="444">
      <c r="B444">
        <f>IF(A444="","",IFERROR(INDEX(Workers!$B$3:$B$51,MATCH(A444,Workers!$A$3:$A$51,0)),"Invalid Worker ID"))</f>
        <v/>
      </c>
      <c r="C444" s="15" t="n"/>
      <c r="E444">
        <f>IF(A444="","",IFERROR(IF(INDEX(Workers!$D$3:$D$51,MATCH(A444,Workers!$A$3:$A$51,0))="Per Day",D444*INDEX(Workers!$E$3:$E$51,MATCH(A444,Workers!$A$3:$A$51,0)),INDEX(Workers!$E$3:$E$51,MATCH(A444,Workers!$A$3:$A$51,0))),"Invalid Worker ID"))</f>
        <v/>
      </c>
      <c r="G444">
        <f>IF(OR(A444="",E444="Invalid Worker ID"),"",E444-F444)</f>
        <v/>
      </c>
      <c r="H444">
        <f>IF(A444="","",IFERROR(INDEX(Workers!$F$3:$F$51,MATCH(A444,Workers!$A$3:$A$51,0)),"Invalid Worker ID"))</f>
        <v/>
      </c>
      <c r="K444">
        <f>A444&amp;"|"&amp;C444</f>
        <v/>
      </c>
    </row>
    <row r="445">
      <c r="B445">
        <f>IF(A445="","",IFERROR(INDEX(Workers!$B$3:$B$51,MATCH(A445,Workers!$A$3:$A$51,0)),"Invalid Worker ID"))</f>
        <v/>
      </c>
      <c r="C445" s="15" t="n"/>
      <c r="E445">
        <f>IF(A445="","",IFERROR(IF(INDEX(Workers!$D$3:$D$51,MATCH(A445,Workers!$A$3:$A$51,0))="Per Day",D445*INDEX(Workers!$E$3:$E$51,MATCH(A445,Workers!$A$3:$A$51,0)),INDEX(Workers!$E$3:$E$51,MATCH(A445,Workers!$A$3:$A$51,0))),"Invalid Worker ID"))</f>
        <v/>
      </c>
      <c r="G445">
        <f>IF(OR(A445="",E445="Invalid Worker ID"),"",E445-F445)</f>
        <v/>
      </c>
      <c r="H445">
        <f>IF(A445="","",IFERROR(INDEX(Workers!$F$3:$F$51,MATCH(A445,Workers!$A$3:$A$51,0)),"Invalid Worker ID"))</f>
        <v/>
      </c>
      <c r="K445">
        <f>A445&amp;"|"&amp;C445</f>
        <v/>
      </c>
    </row>
    <row r="446">
      <c r="B446">
        <f>IF(A446="","",IFERROR(INDEX(Workers!$B$3:$B$51,MATCH(A446,Workers!$A$3:$A$51,0)),"Invalid Worker ID"))</f>
        <v/>
      </c>
      <c r="C446" s="15" t="n"/>
      <c r="E446">
        <f>IF(A446="","",IFERROR(IF(INDEX(Workers!$D$3:$D$51,MATCH(A446,Workers!$A$3:$A$51,0))="Per Day",D446*INDEX(Workers!$E$3:$E$51,MATCH(A446,Workers!$A$3:$A$51,0)),INDEX(Workers!$E$3:$E$51,MATCH(A446,Workers!$A$3:$A$51,0))),"Invalid Worker ID"))</f>
        <v/>
      </c>
      <c r="G446">
        <f>IF(OR(A446="",E446="Invalid Worker ID"),"",E446-F446)</f>
        <v/>
      </c>
      <c r="H446">
        <f>IF(A446="","",IFERROR(INDEX(Workers!$F$3:$F$51,MATCH(A446,Workers!$A$3:$A$51,0)),"Invalid Worker ID"))</f>
        <v/>
      </c>
      <c r="K446">
        <f>A446&amp;"|"&amp;C446</f>
        <v/>
      </c>
    </row>
    <row r="447">
      <c r="B447">
        <f>IF(A447="","",IFERROR(INDEX(Workers!$B$3:$B$51,MATCH(A447,Workers!$A$3:$A$51,0)),"Invalid Worker ID"))</f>
        <v/>
      </c>
      <c r="C447" s="15" t="n"/>
      <c r="E447">
        <f>IF(A447="","",IFERROR(IF(INDEX(Workers!$D$3:$D$51,MATCH(A447,Workers!$A$3:$A$51,0))="Per Day",D447*INDEX(Workers!$E$3:$E$51,MATCH(A447,Workers!$A$3:$A$51,0)),INDEX(Workers!$E$3:$E$51,MATCH(A447,Workers!$A$3:$A$51,0))),"Invalid Worker ID"))</f>
        <v/>
      </c>
      <c r="G447">
        <f>IF(OR(A447="",E447="Invalid Worker ID"),"",E447-F447)</f>
        <v/>
      </c>
      <c r="H447">
        <f>IF(A447="","",IFERROR(INDEX(Workers!$F$3:$F$51,MATCH(A447,Workers!$A$3:$A$51,0)),"Invalid Worker ID"))</f>
        <v/>
      </c>
      <c r="K447">
        <f>A447&amp;"|"&amp;C447</f>
        <v/>
      </c>
    </row>
    <row r="448">
      <c r="B448">
        <f>IF(A448="","",IFERROR(INDEX(Workers!$B$3:$B$51,MATCH(A448,Workers!$A$3:$A$51,0)),"Invalid Worker ID"))</f>
        <v/>
      </c>
      <c r="C448" s="15" t="n"/>
      <c r="E448">
        <f>IF(A448="","",IFERROR(IF(INDEX(Workers!$D$3:$D$51,MATCH(A448,Workers!$A$3:$A$51,0))="Per Day",D448*INDEX(Workers!$E$3:$E$51,MATCH(A448,Workers!$A$3:$A$51,0)),INDEX(Workers!$E$3:$E$51,MATCH(A448,Workers!$A$3:$A$51,0))),"Invalid Worker ID"))</f>
        <v/>
      </c>
      <c r="G448">
        <f>IF(OR(A448="",E448="Invalid Worker ID"),"",E448-F448)</f>
        <v/>
      </c>
      <c r="H448">
        <f>IF(A448="","",IFERROR(INDEX(Workers!$F$3:$F$51,MATCH(A448,Workers!$A$3:$A$51,0)),"Invalid Worker ID"))</f>
        <v/>
      </c>
      <c r="K448">
        <f>A448&amp;"|"&amp;C448</f>
        <v/>
      </c>
    </row>
    <row r="449">
      <c r="B449">
        <f>IF(A449="","",IFERROR(INDEX(Workers!$B$3:$B$51,MATCH(A449,Workers!$A$3:$A$51,0)),"Invalid Worker ID"))</f>
        <v/>
      </c>
      <c r="C449" s="15" t="n"/>
      <c r="E449">
        <f>IF(A449="","",IFERROR(IF(INDEX(Workers!$D$3:$D$51,MATCH(A449,Workers!$A$3:$A$51,0))="Per Day",D449*INDEX(Workers!$E$3:$E$51,MATCH(A449,Workers!$A$3:$A$51,0)),INDEX(Workers!$E$3:$E$51,MATCH(A449,Workers!$A$3:$A$51,0))),"Invalid Worker ID"))</f>
        <v/>
      </c>
      <c r="G449">
        <f>IF(OR(A449="",E449="Invalid Worker ID"),"",E449-F449)</f>
        <v/>
      </c>
      <c r="H449">
        <f>IF(A449="","",IFERROR(INDEX(Workers!$F$3:$F$51,MATCH(A449,Workers!$A$3:$A$51,0)),"Invalid Worker ID"))</f>
        <v/>
      </c>
      <c r="K449">
        <f>A449&amp;"|"&amp;C449</f>
        <v/>
      </c>
    </row>
    <row r="450">
      <c r="B450">
        <f>IF(A450="","",IFERROR(INDEX(Workers!$B$3:$B$51,MATCH(A450,Workers!$A$3:$A$51,0)),"Invalid Worker ID"))</f>
        <v/>
      </c>
      <c r="C450" s="15" t="n"/>
      <c r="E450">
        <f>IF(A450="","",IFERROR(IF(INDEX(Workers!$D$3:$D$51,MATCH(A450,Workers!$A$3:$A$51,0))="Per Day",D450*INDEX(Workers!$E$3:$E$51,MATCH(A450,Workers!$A$3:$A$51,0)),INDEX(Workers!$E$3:$E$51,MATCH(A450,Workers!$A$3:$A$51,0))),"Invalid Worker ID"))</f>
        <v/>
      </c>
      <c r="G450">
        <f>IF(OR(A450="",E450="Invalid Worker ID"),"",E450-F450)</f>
        <v/>
      </c>
      <c r="H450">
        <f>IF(A450="","",IFERROR(INDEX(Workers!$F$3:$F$51,MATCH(A450,Workers!$A$3:$A$51,0)),"Invalid Worker ID"))</f>
        <v/>
      </c>
      <c r="K450">
        <f>A450&amp;"|"&amp;C450</f>
        <v/>
      </c>
    </row>
    <row r="451">
      <c r="B451">
        <f>IF(A451="","",IFERROR(INDEX(Workers!$B$3:$B$51,MATCH(A451,Workers!$A$3:$A$51,0)),"Invalid Worker ID"))</f>
        <v/>
      </c>
      <c r="C451" s="15" t="n"/>
      <c r="E451">
        <f>IF(A451="","",IFERROR(IF(INDEX(Workers!$D$3:$D$51,MATCH(A451,Workers!$A$3:$A$51,0))="Per Day",D451*INDEX(Workers!$E$3:$E$51,MATCH(A451,Workers!$A$3:$A$51,0)),INDEX(Workers!$E$3:$E$51,MATCH(A451,Workers!$A$3:$A$51,0))),"Invalid Worker ID"))</f>
        <v/>
      </c>
      <c r="G451">
        <f>IF(OR(A451="",E451="Invalid Worker ID"),"",E451-F451)</f>
        <v/>
      </c>
      <c r="H451">
        <f>IF(A451="","",IFERROR(INDEX(Workers!$F$3:$F$51,MATCH(A451,Workers!$A$3:$A$51,0)),"Invalid Worker ID"))</f>
        <v/>
      </c>
      <c r="K451">
        <f>A451&amp;"|"&amp;C451</f>
        <v/>
      </c>
    </row>
    <row r="452">
      <c r="B452">
        <f>IF(A452="","",IFERROR(INDEX(Workers!$B$3:$B$51,MATCH(A452,Workers!$A$3:$A$51,0)),"Invalid Worker ID"))</f>
        <v/>
      </c>
      <c r="C452" s="15" t="n"/>
      <c r="E452">
        <f>IF(A452="","",IFERROR(IF(INDEX(Workers!$D$3:$D$51,MATCH(A452,Workers!$A$3:$A$51,0))="Per Day",D452*INDEX(Workers!$E$3:$E$51,MATCH(A452,Workers!$A$3:$A$51,0)),INDEX(Workers!$E$3:$E$51,MATCH(A452,Workers!$A$3:$A$51,0))),"Invalid Worker ID"))</f>
        <v/>
      </c>
      <c r="G452">
        <f>IF(OR(A452="",E452="Invalid Worker ID"),"",E452-F452)</f>
        <v/>
      </c>
      <c r="H452">
        <f>IF(A452="","",IFERROR(INDEX(Workers!$F$3:$F$51,MATCH(A452,Workers!$A$3:$A$51,0)),"Invalid Worker ID"))</f>
        <v/>
      </c>
      <c r="K452">
        <f>A452&amp;"|"&amp;C452</f>
        <v/>
      </c>
    </row>
    <row r="453">
      <c r="B453">
        <f>IF(A453="","",IFERROR(INDEX(Workers!$B$3:$B$51,MATCH(A453,Workers!$A$3:$A$51,0)),"Invalid Worker ID"))</f>
        <v/>
      </c>
      <c r="C453" s="15" t="n"/>
      <c r="E453">
        <f>IF(A453="","",IFERROR(IF(INDEX(Workers!$D$3:$D$51,MATCH(A453,Workers!$A$3:$A$51,0))="Per Day",D453*INDEX(Workers!$E$3:$E$51,MATCH(A453,Workers!$A$3:$A$51,0)),INDEX(Workers!$E$3:$E$51,MATCH(A453,Workers!$A$3:$A$51,0))),"Invalid Worker ID"))</f>
        <v/>
      </c>
      <c r="G453">
        <f>IF(OR(A453="",E453="Invalid Worker ID"),"",E453-F453)</f>
        <v/>
      </c>
      <c r="H453">
        <f>IF(A453="","",IFERROR(INDEX(Workers!$F$3:$F$51,MATCH(A453,Workers!$A$3:$A$51,0)),"Invalid Worker ID"))</f>
        <v/>
      </c>
      <c r="K453">
        <f>A453&amp;"|"&amp;C453</f>
        <v/>
      </c>
    </row>
    <row r="454">
      <c r="B454">
        <f>IF(A454="","",IFERROR(INDEX(Workers!$B$3:$B$51,MATCH(A454,Workers!$A$3:$A$51,0)),"Invalid Worker ID"))</f>
        <v/>
      </c>
      <c r="C454" s="15" t="n"/>
      <c r="E454">
        <f>IF(A454="","",IFERROR(IF(INDEX(Workers!$D$3:$D$51,MATCH(A454,Workers!$A$3:$A$51,0))="Per Day",D454*INDEX(Workers!$E$3:$E$51,MATCH(A454,Workers!$A$3:$A$51,0)),INDEX(Workers!$E$3:$E$51,MATCH(A454,Workers!$A$3:$A$51,0))),"Invalid Worker ID"))</f>
        <v/>
      </c>
      <c r="G454">
        <f>IF(OR(A454="",E454="Invalid Worker ID"),"",E454-F454)</f>
        <v/>
      </c>
      <c r="H454">
        <f>IF(A454="","",IFERROR(INDEX(Workers!$F$3:$F$51,MATCH(A454,Workers!$A$3:$A$51,0)),"Invalid Worker ID"))</f>
        <v/>
      </c>
      <c r="K454">
        <f>A454&amp;"|"&amp;C454</f>
        <v/>
      </c>
    </row>
    <row r="455">
      <c r="B455">
        <f>IF(A455="","",IFERROR(INDEX(Workers!$B$3:$B$51,MATCH(A455,Workers!$A$3:$A$51,0)),"Invalid Worker ID"))</f>
        <v/>
      </c>
      <c r="C455" s="15" t="n"/>
      <c r="E455">
        <f>IF(A455="","",IFERROR(IF(INDEX(Workers!$D$3:$D$51,MATCH(A455,Workers!$A$3:$A$51,0))="Per Day",D455*INDEX(Workers!$E$3:$E$51,MATCH(A455,Workers!$A$3:$A$51,0)),INDEX(Workers!$E$3:$E$51,MATCH(A455,Workers!$A$3:$A$51,0))),"Invalid Worker ID"))</f>
        <v/>
      </c>
      <c r="G455">
        <f>IF(OR(A455="",E455="Invalid Worker ID"),"",E455-F455)</f>
        <v/>
      </c>
      <c r="H455">
        <f>IF(A455="","",IFERROR(INDEX(Workers!$F$3:$F$51,MATCH(A455,Workers!$A$3:$A$51,0)),"Invalid Worker ID"))</f>
        <v/>
      </c>
      <c r="K455">
        <f>A455&amp;"|"&amp;C455</f>
        <v/>
      </c>
    </row>
    <row r="456">
      <c r="B456">
        <f>IF(A456="","",IFERROR(INDEX(Workers!$B$3:$B$51,MATCH(A456,Workers!$A$3:$A$51,0)),"Invalid Worker ID"))</f>
        <v/>
      </c>
      <c r="C456" s="15" t="n"/>
      <c r="E456">
        <f>IF(A456="","",IFERROR(IF(INDEX(Workers!$D$3:$D$51,MATCH(A456,Workers!$A$3:$A$51,0))="Per Day",D456*INDEX(Workers!$E$3:$E$51,MATCH(A456,Workers!$A$3:$A$51,0)),INDEX(Workers!$E$3:$E$51,MATCH(A456,Workers!$A$3:$A$51,0))),"Invalid Worker ID"))</f>
        <v/>
      </c>
      <c r="G456">
        <f>IF(OR(A456="",E456="Invalid Worker ID"),"",E456-F456)</f>
        <v/>
      </c>
      <c r="H456">
        <f>IF(A456="","",IFERROR(INDEX(Workers!$F$3:$F$51,MATCH(A456,Workers!$A$3:$A$51,0)),"Invalid Worker ID"))</f>
        <v/>
      </c>
      <c r="K456">
        <f>A456&amp;"|"&amp;C456</f>
        <v/>
      </c>
    </row>
    <row r="457">
      <c r="B457">
        <f>IF(A457="","",IFERROR(INDEX(Workers!$B$3:$B$51,MATCH(A457,Workers!$A$3:$A$51,0)),"Invalid Worker ID"))</f>
        <v/>
      </c>
      <c r="C457" s="15" t="n"/>
      <c r="E457">
        <f>IF(A457="","",IFERROR(IF(INDEX(Workers!$D$3:$D$51,MATCH(A457,Workers!$A$3:$A$51,0))="Per Day",D457*INDEX(Workers!$E$3:$E$51,MATCH(A457,Workers!$A$3:$A$51,0)),INDEX(Workers!$E$3:$E$51,MATCH(A457,Workers!$A$3:$A$51,0))),"Invalid Worker ID"))</f>
        <v/>
      </c>
      <c r="G457">
        <f>IF(OR(A457="",E457="Invalid Worker ID"),"",E457-F457)</f>
        <v/>
      </c>
      <c r="H457">
        <f>IF(A457="","",IFERROR(INDEX(Workers!$F$3:$F$51,MATCH(A457,Workers!$A$3:$A$51,0)),"Invalid Worker ID"))</f>
        <v/>
      </c>
      <c r="K457">
        <f>A457&amp;"|"&amp;C457</f>
        <v/>
      </c>
    </row>
    <row r="458">
      <c r="B458">
        <f>IF(A458="","",IFERROR(INDEX(Workers!$B$3:$B$51,MATCH(A458,Workers!$A$3:$A$51,0)),"Invalid Worker ID"))</f>
        <v/>
      </c>
      <c r="C458" s="15" t="n"/>
      <c r="E458">
        <f>IF(A458="","",IFERROR(IF(INDEX(Workers!$D$3:$D$51,MATCH(A458,Workers!$A$3:$A$51,0))="Per Day",D458*INDEX(Workers!$E$3:$E$51,MATCH(A458,Workers!$A$3:$A$51,0)),INDEX(Workers!$E$3:$E$51,MATCH(A458,Workers!$A$3:$A$51,0))),"Invalid Worker ID"))</f>
        <v/>
      </c>
      <c r="G458">
        <f>IF(OR(A458="",E458="Invalid Worker ID"),"",E458-F458)</f>
        <v/>
      </c>
      <c r="H458">
        <f>IF(A458="","",IFERROR(INDEX(Workers!$F$3:$F$51,MATCH(A458,Workers!$A$3:$A$51,0)),"Invalid Worker ID"))</f>
        <v/>
      </c>
      <c r="K458">
        <f>A458&amp;"|"&amp;C458</f>
        <v/>
      </c>
    </row>
    <row r="459">
      <c r="B459">
        <f>IF(A459="","",IFERROR(INDEX(Workers!$B$3:$B$51,MATCH(A459,Workers!$A$3:$A$51,0)),"Invalid Worker ID"))</f>
        <v/>
      </c>
      <c r="C459" s="15" t="n"/>
      <c r="E459">
        <f>IF(A459="","",IFERROR(IF(INDEX(Workers!$D$3:$D$51,MATCH(A459,Workers!$A$3:$A$51,0))="Per Day",D459*INDEX(Workers!$E$3:$E$51,MATCH(A459,Workers!$A$3:$A$51,0)),INDEX(Workers!$E$3:$E$51,MATCH(A459,Workers!$A$3:$A$51,0))),"Invalid Worker ID"))</f>
        <v/>
      </c>
      <c r="G459">
        <f>IF(OR(A459="",E459="Invalid Worker ID"),"",E459-F459)</f>
        <v/>
      </c>
      <c r="H459">
        <f>IF(A459="","",IFERROR(INDEX(Workers!$F$3:$F$51,MATCH(A459,Workers!$A$3:$A$51,0)),"Invalid Worker ID"))</f>
        <v/>
      </c>
      <c r="K459">
        <f>A459&amp;"|"&amp;C459</f>
        <v/>
      </c>
    </row>
    <row r="460">
      <c r="B460">
        <f>IF(A460="","",IFERROR(INDEX(Workers!$B$3:$B$51,MATCH(A460,Workers!$A$3:$A$51,0)),"Invalid Worker ID"))</f>
        <v/>
      </c>
      <c r="C460" s="15" t="n"/>
      <c r="E460">
        <f>IF(A460="","",IFERROR(IF(INDEX(Workers!$D$3:$D$51,MATCH(A460,Workers!$A$3:$A$51,0))="Per Day",D460*INDEX(Workers!$E$3:$E$51,MATCH(A460,Workers!$A$3:$A$51,0)),INDEX(Workers!$E$3:$E$51,MATCH(A460,Workers!$A$3:$A$51,0))),"Invalid Worker ID"))</f>
        <v/>
      </c>
      <c r="G460">
        <f>IF(OR(A460="",E460="Invalid Worker ID"),"",E460-F460)</f>
        <v/>
      </c>
      <c r="H460">
        <f>IF(A460="","",IFERROR(INDEX(Workers!$F$3:$F$51,MATCH(A460,Workers!$A$3:$A$51,0)),"Invalid Worker ID"))</f>
        <v/>
      </c>
      <c r="K460">
        <f>A460&amp;"|"&amp;C460</f>
        <v/>
      </c>
    </row>
    <row r="461">
      <c r="B461">
        <f>IF(A461="","",IFERROR(INDEX(Workers!$B$3:$B$51,MATCH(A461,Workers!$A$3:$A$51,0)),"Invalid Worker ID"))</f>
        <v/>
      </c>
      <c r="C461" s="15" t="n"/>
      <c r="E461">
        <f>IF(A461="","",IFERROR(IF(INDEX(Workers!$D$3:$D$51,MATCH(A461,Workers!$A$3:$A$51,0))="Per Day",D461*INDEX(Workers!$E$3:$E$51,MATCH(A461,Workers!$A$3:$A$51,0)),INDEX(Workers!$E$3:$E$51,MATCH(A461,Workers!$A$3:$A$51,0))),"Invalid Worker ID"))</f>
        <v/>
      </c>
      <c r="G461">
        <f>IF(OR(A461="",E461="Invalid Worker ID"),"",E461-F461)</f>
        <v/>
      </c>
      <c r="H461">
        <f>IF(A461="","",IFERROR(INDEX(Workers!$F$3:$F$51,MATCH(A461,Workers!$A$3:$A$51,0)),"Invalid Worker ID"))</f>
        <v/>
      </c>
      <c r="K461">
        <f>A461&amp;"|"&amp;C461</f>
        <v/>
      </c>
    </row>
    <row r="462">
      <c r="B462">
        <f>IF(A462="","",IFERROR(INDEX(Workers!$B$3:$B$51,MATCH(A462,Workers!$A$3:$A$51,0)),"Invalid Worker ID"))</f>
        <v/>
      </c>
      <c r="C462" s="15" t="n"/>
      <c r="E462">
        <f>IF(A462="","",IFERROR(IF(INDEX(Workers!$D$3:$D$51,MATCH(A462,Workers!$A$3:$A$51,0))="Per Day",D462*INDEX(Workers!$E$3:$E$51,MATCH(A462,Workers!$A$3:$A$51,0)),INDEX(Workers!$E$3:$E$51,MATCH(A462,Workers!$A$3:$A$51,0))),"Invalid Worker ID"))</f>
        <v/>
      </c>
      <c r="G462">
        <f>IF(OR(A462="",E462="Invalid Worker ID"),"",E462-F462)</f>
        <v/>
      </c>
      <c r="H462">
        <f>IF(A462="","",IFERROR(INDEX(Workers!$F$3:$F$51,MATCH(A462,Workers!$A$3:$A$51,0)),"Invalid Worker ID"))</f>
        <v/>
      </c>
      <c r="K462">
        <f>A462&amp;"|"&amp;C462</f>
        <v/>
      </c>
    </row>
    <row r="463">
      <c r="B463">
        <f>IF(A463="","",IFERROR(INDEX(Workers!$B$3:$B$51,MATCH(A463,Workers!$A$3:$A$51,0)),"Invalid Worker ID"))</f>
        <v/>
      </c>
      <c r="C463" s="15" t="n"/>
      <c r="E463">
        <f>IF(A463="","",IFERROR(IF(INDEX(Workers!$D$3:$D$51,MATCH(A463,Workers!$A$3:$A$51,0))="Per Day",D463*INDEX(Workers!$E$3:$E$51,MATCH(A463,Workers!$A$3:$A$51,0)),INDEX(Workers!$E$3:$E$51,MATCH(A463,Workers!$A$3:$A$51,0))),"Invalid Worker ID"))</f>
        <v/>
      </c>
      <c r="G463">
        <f>IF(OR(A463="",E463="Invalid Worker ID"),"",E463-F463)</f>
        <v/>
      </c>
      <c r="H463">
        <f>IF(A463="","",IFERROR(INDEX(Workers!$F$3:$F$51,MATCH(A463,Workers!$A$3:$A$51,0)),"Invalid Worker ID"))</f>
        <v/>
      </c>
      <c r="K463">
        <f>A463&amp;"|"&amp;C463</f>
        <v/>
      </c>
    </row>
    <row r="464">
      <c r="B464">
        <f>IF(A464="","",IFERROR(INDEX(Workers!$B$3:$B$51,MATCH(A464,Workers!$A$3:$A$51,0)),"Invalid Worker ID"))</f>
        <v/>
      </c>
      <c r="C464" s="15" t="n"/>
      <c r="E464">
        <f>IF(A464="","",IFERROR(IF(INDEX(Workers!$D$3:$D$51,MATCH(A464,Workers!$A$3:$A$51,0))="Per Day",D464*INDEX(Workers!$E$3:$E$51,MATCH(A464,Workers!$A$3:$A$51,0)),INDEX(Workers!$E$3:$E$51,MATCH(A464,Workers!$A$3:$A$51,0))),"Invalid Worker ID"))</f>
        <v/>
      </c>
      <c r="G464">
        <f>IF(OR(A464="",E464="Invalid Worker ID"),"",E464-F464)</f>
        <v/>
      </c>
      <c r="H464">
        <f>IF(A464="","",IFERROR(INDEX(Workers!$F$3:$F$51,MATCH(A464,Workers!$A$3:$A$51,0)),"Invalid Worker ID"))</f>
        <v/>
      </c>
      <c r="K464">
        <f>A464&amp;"|"&amp;C464</f>
        <v/>
      </c>
    </row>
    <row r="465">
      <c r="B465">
        <f>IF(A465="","",IFERROR(INDEX(Workers!$B$3:$B$51,MATCH(A465,Workers!$A$3:$A$51,0)),"Invalid Worker ID"))</f>
        <v/>
      </c>
      <c r="C465" s="15" t="n"/>
      <c r="E465">
        <f>IF(A465="","",IFERROR(IF(INDEX(Workers!$D$3:$D$51,MATCH(A465,Workers!$A$3:$A$51,0))="Per Day",D465*INDEX(Workers!$E$3:$E$51,MATCH(A465,Workers!$A$3:$A$51,0)),INDEX(Workers!$E$3:$E$51,MATCH(A465,Workers!$A$3:$A$51,0))),"Invalid Worker ID"))</f>
        <v/>
      </c>
      <c r="G465">
        <f>IF(OR(A465="",E465="Invalid Worker ID"),"",E465-F465)</f>
        <v/>
      </c>
      <c r="H465">
        <f>IF(A465="","",IFERROR(INDEX(Workers!$F$3:$F$51,MATCH(A465,Workers!$A$3:$A$51,0)),"Invalid Worker ID"))</f>
        <v/>
      </c>
      <c r="K465">
        <f>A465&amp;"|"&amp;C465</f>
        <v/>
      </c>
    </row>
    <row r="466">
      <c r="B466">
        <f>IF(A466="","",IFERROR(INDEX(Workers!$B$3:$B$51,MATCH(A466,Workers!$A$3:$A$51,0)),"Invalid Worker ID"))</f>
        <v/>
      </c>
      <c r="C466" s="15" t="n"/>
      <c r="E466">
        <f>IF(A466="","",IFERROR(IF(INDEX(Workers!$D$3:$D$51,MATCH(A466,Workers!$A$3:$A$51,0))="Per Day",D466*INDEX(Workers!$E$3:$E$51,MATCH(A466,Workers!$A$3:$A$51,0)),INDEX(Workers!$E$3:$E$51,MATCH(A466,Workers!$A$3:$A$51,0))),"Invalid Worker ID"))</f>
        <v/>
      </c>
      <c r="G466">
        <f>IF(OR(A466="",E466="Invalid Worker ID"),"",E466-F466)</f>
        <v/>
      </c>
      <c r="H466">
        <f>IF(A466="","",IFERROR(INDEX(Workers!$F$3:$F$51,MATCH(A466,Workers!$A$3:$A$51,0)),"Invalid Worker ID"))</f>
        <v/>
      </c>
      <c r="K466">
        <f>A466&amp;"|"&amp;C466</f>
        <v/>
      </c>
    </row>
    <row r="467">
      <c r="B467">
        <f>IF(A467="","",IFERROR(INDEX(Workers!$B$3:$B$51,MATCH(A467,Workers!$A$3:$A$51,0)),"Invalid Worker ID"))</f>
        <v/>
      </c>
      <c r="C467" s="15" t="n"/>
      <c r="E467">
        <f>IF(A467="","",IFERROR(IF(INDEX(Workers!$D$3:$D$51,MATCH(A467,Workers!$A$3:$A$51,0))="Per Day",D467*INDEX(Workers!$E$3:$E$51,MATCH(A467,Workers!$A$3:$A$51,0)),INDEX(Workers!$E$3:$E$51,MATCH(A467,Workers!$A$3:$A$51,0))),"Invalid Worker ID"))</f>
        <v/>
      </c>
      <c r="G467">
        <f>IF(OR(A467="",E467="Invalid Worker ID"),"",E467-F467)</f>
        <v/>
      </c>
      <c r="H467">
        <f>IF(A467="","",IFERROR(INDEX(Workers!$F$3:$F$51,MATCH(A467,Workers!$A$3:$A$51,0)),"Invalid Worker ID"))</f>
        <v/>
      </c>
      <c r="K467">
        <f>A467&amp;"|"&amp;C467</f>
        <v/>
      </c>
    </row>
    <row r="468">
      <c r="B468">
        <f>IF(A468="","",IFERROR(INDEX(Workers!$B$3:$B$51,MATCH(A468,Workers!$A$3:$A$51,0)),"Invalid Worker ID"))</f>
        <v/>
      </c>
      <c r="C468" s="15" t="n"/>
      <c r="E468">
        <f>IF(A468="","",IFERROR(IF(INDEX(Workers!$D$3:$D$51,MATCH(A468,Workers!$A$3:$A$51,0))="Per Day",D468*INDEX(Workers!$E$3:$E$51,MATCH(A468,Workers!$A$3:$A$51,0)),INDEX(Workers!$E$3:$E$51,MATCH(A468,Workers!$A$3:$A$51,0))),"Invalid Worker ID"))</f>
        <v/>
      </c>
      <c r="G468">
        <f>IF(OR(A468="",E468="Invalid Worker ID"),"",E468-F468)</f>
        <v/>
      </c>
      <c r="H468">
        <f>IF(A468="","",IFERROR(INDEX(Workers!$F$3:$F$51,MATCH(A468,Workers!$A$3:$A$51,0)),"Invalid Worker ID"))</f>
        <v/>
      </c>
      <c r="K468">
        <f>A468&amp;"|"&amp;C468</f>
        <v/>
      </c>
    </row>
    <row r="469">
      <c r="B469">
        <f>IF(A469="","",IFERROR(INDEX(Workers!$B$3:$B$51,MATCH(A469,Workers!$A$3:$A$51,0)),"Invalid Worker ID"))</f>
        <v/>
      </c>
      <c r="C469" s="15" t="n"/>
      <c r="E469">
        <f>IF(A469="","",IFERROR(IF(INDEX(Workers!$D$3:$D$51,MATCH(A469,Workers!$A$3:$A$51,0))="Per Day",D469*INDEX(Workers!$E$3:$E$51,MATCH(A469,Workers!$A$3:$A$51,0)),INDEX(Workers!$E$3:$E$51,MATCH(A469,Workers!$A$3:$A$51,0))),"Invalid Worker ID"))</f>
        <v/>
      </c>
      <c r="G469">
        <f>IF(OR(A469="",E469="Invalid Worker ID"),"",E469-F469)</f>
        <v/>
      </c>
      <c r="H469">
        <f>IF(A469="","",IFERROR(INDEX(Workers!$F$3:$F$51,MATCH(A469,Workers!$A$3:$A$51,0)),"Invalid Worker ID"))</f>
        <v/>
      </c>
      <c r="K469">
        <f>A469&amp;"|"&amp;C469</f>
        <v/>
      </c>
    </row>
    <row r="470">
      <c r="B470">
        <f>IF(A470="","",IFERROR(INDEX(Workers!$B$3:$B$51,MATCH(A470,Workers!$A$3:$A$51,0)),"Invalid Worker ID"))</f>
        <v/>
      </c>
      <c r="C470" s="15" t="n"/>
      <c r="E470">
        <f>IF(A470="","",IFERROR(IF(INDEX(Workers!$D$3:$D$51,MATCH(A470,Workers!$A$3:$A$51,0))="Per Day",D470*INDEX(Workers!$E$3:$E$51,MATCH(A470,Workers!$A$3:$A$51,0)),INDEX(Workers!$E$3:$E$51,MATCH(A470,Workers!$A$3:$A$51,0))),"Invalid Worker ID"))</f>
        <v/>
      </c>
      <c r="G470">
        <f>IF(OR(A470="",E470="Invalid Worker ID"),"",E470-F470)</f>
        <v/>
      </c>
      <c r="H470">
        <f>IF(A470="","",IFERROR(INDEX(Workers!$F$3:$F$51,MATCH(A470,Workers!$A$3:$A$51,0)),"Invalid Worker ID"))</f>
        <v/>
      </c>
      <c r="K470">
        <f>A470&amp;"|"&amp;C470</f>
        <v/>
      </c>
    </row>
    <row r="471">
      <c r="B471">
        <f>IF(A471="","",IFERROR(INDEX(Workers!$B$3:$B$51,MATCH(A471,Workers!$A$3:$A$51,0)),"Invalid Worker ID"))</f>
        <v/>
      </c>
      <c r="C471" s="15" t="n"/>
      <c r="E471">
        <f>IF(A471="","",IFERROR(IF(INDEX(Workers!$D$3:$D$51,MATCH(A471,Workers!$A$3:$A$51,0))="Per Day",D471*INDEX(Workers!$E$3:$E$51,MATCH(A471,Workers!$A$3:$A$51,0)),INDEX(Workers!$E$3:$E$51,MATCH(A471,Workers!$A$3:$A$51,0))),"Invalid Worker ID"))</f>
        <v/>
      </c>
      <c r="G471">
        <f>IF(OR(A471="",E471="Invalid Worker ID"),"",E471-F471)</f>
        <v/>
      </c>
      <c r="H471">
        <f>IF(A471="","",IFERROR(INDEX(Workers!$F$3:$F$51,MATCH(A471,Workers!$A$3:$A$51,0)),"Invalid Worker ID"))</f>
        <v/>
      </c>
      <c r="K471">
        <f>A471&amp;"|"&amp;C471</f>
        <v/>
      </c>
    </row>
    <row r="472">
      <c r="B472">
        <f>IF(A472="","",IFERROR(INDEX(Workers!$B$3:$B$51,MATCH(A472,Workers!$A$3:$A$51,0)),"Invalid Worker ID"))</f>
        <v/>
      </c>
      <c r="C472" s="15" t="n"/>
      <c r="E472">
        <f>IF(A472="","",IFERROR(IF(INDEX(Workers!$D$3:$D$51,MATCH(A472,Workers!$A$3:$A$51,0))="Per Day",D472*INDEX(Workers!$E$3:$E$51,MATCH(A472,Workers!$A$3:$A$51,0)),INDEX(Workers!$E$3:$E$51,MATCH(A472,Workers!$A$3:$A$51,0))),"Invalid Worker ID"))</f>
        <v/>
      </c>
      <c r="G472">
        <f>IF(OR(A472="",E472="Invalid Worker ID"),"",E472-F472)</f>
        <v/>
      </c>
      <c r="H472">
        <f>IF(A472="","",IFERROR(INDEX(Workers!$F$3:$F$51,MATCH(A472,Workers!$A$3:$A$51,0)),"Invalid Worker ID"))</f>
        <v/>
      </c>
      <c r="K472">
        <f>A472&amp;"|"&amp;C472</f>
        <v/>
      </c>
    </row>
    <row r="473">
      <c r="B473">
        <f>IF(A473="","",IFERROR(INDEX(Workers!$B$3:$B$51,MATCH(A473,Workers!$A$3:$A$51,0)),"Invalid Worker ID"))</f>
        <v/>
      </c>
      <c r="C473" s="15" t="n"/>
      <c r="E473">
        <f>IF(A473="","",IFERROR(IF(INDEX(Workers!$D$3:$D$51,MATCH(A473,Workers!$A$3:$A$51,0))="Per Day",D473*INDEX(Workers!$E$3:$E$51,MATCH(A473,Workers!$A$3:$A$51,0)),INDEX(Workers!$E$3:$E$51,MATCH(A473,Workers!$A$3:$A$51,0))),"Invalid Worker ID"))</f>
        <v/>
      </c>
      <c r="G473">
        <f>IF(OR(A473="",E473="Invalid Worker ID"),"",E473-F473)</f>
        <v/>
      </c>
      <c r="H473">
        <f>IF(A473="","",IFERROR(INDEX(Workers!$F$3:$F$51,MATCH(A473,Workers!$A$3:$A$51,0)),"Invalid Worker ID"))</f>
        <v/>
      </c>
      <c r="K473">
        <f>A473&amp;"|"&amp;C473</f>
        <v/>
      </c>
    </row>
    <row r="474">
      <c r="B474">
        <f>IF(A474="","",IFERROR(INDEX(Workers!$B$3:$B$51,MATCH(A474,Workers!$A$3:$A$51,0)),"Invalid Worker ID"))</f>
        <v/>
      </c>
      <c r="C474" s="15" t="n"/>
      <c r="E474">
        <f>IF(A474="","",IFERROR(IF(INDEX(Workers!$D$3:$D$51,MATCH(A474,Workers!$A$3:$A$51,0))="Per Day",D474*INDEX(Workers!$E$3:$E$51,MATCH(A474,Workers!$A$3:$A$51,0)),INDEX(Workers!$E$3:$E$51,MATCH(A474,Workers!$A$3:$A$51,0))),"Invalid Worker ID"))</f>
        <v/>
      </c>
      <c r="G474">
        <f>IF(OR(A474="",E474="Invalid Worker ID"),"",E474-F474)</f>
        <v/>
      </c>
      <c r="H474">
        <f>IF(A474="","",IFERROR(INDEX(Workers!$F$3:$F$51,MATCH(A474,Workers!$A$3:$A$51,0)),"Invalid Worker ID"))</f>
        <v/>
      </c>
      <c r="K474">
        <f>A474&amp;"|"&amp;C474</f>
        <v/>
      </c>
    </row>
    <row r="475">
      <c r="B475">
        <f>IF(A475="","",IFERROR(INDEX(Workers!$B$3:$B$51,MATCH(A475,Workers!$A$3:$A$51,0)),"Invalid Worker ID"))</f>
        <v/>
      </c>
      <c r="C475" s="15" t="n"/>
      <c r="E475">
        <f>IF(A475="","",IFERROR(IF(INDEX(Workers!$D$3:$D$51,MATCH(A475,Workers!$A$3:$A$51,0))="Per Day",D475*INDEX(Workers!$E$3:$E$51,MATCH(A475,Workers!$A$3:$A$51,0)),INDEX(Workers!$E$3:$E$51,MATCH(A475,Workers!$A$3:$A$51,0))),"Invalid Worker ID"))</f>
        <v/>
      </c>
      <c r="G475">
        <f>IF(OR(A475="",E475="Invalid Worker ID"),"",E475-F475)</f>
        <v/>
      </c>
      <c r="H475">
        <f>IF(A475="","",IFERROR(INDEX(Workers!$F$3:$F$51,MATCH(A475,Workers!$A$3:$A$51,0)),"Invalid Worker ID"))</f>
        <v/>
      </c>
      <c r="K475">
        <f>A475&amp;"|"&amp;C475</f>
        <v/>
      </c>
    </row>
    <row r="476">
      <c r="B476">
        <f>IF(A476="","",IFERROR(INDEX(Workers!$B$3:$B$51,MATCH(A476,Workers!$A$3:$A$51,0)),"Invalid Worker ID"))</f>
        <v/>
      </c>
      <c r="C476" s="15" t="n"/>
      <c r="E476">
        <f>IF(A476="","",IFERROR(IF(INDEX(Workers!$D$3:$D$51,MATCH(A476,Workers!$A$3:$A$51,0))="Per Day",D476*INDEX(Workers!$E$3:$E$51,MATCH(A476,Workers!$A$3:$A$51,0)),INDEX(Workers!$E$3:$E$51,MATCH(A476,Workers!$A$3:$A$51,0))),"Invalid Worker ID"))</f>
        <v/>
      </c>
      <c r="G476">
        <f>IF(OR(A476="",E476="Invalid Worker ID"),"",E476-F476)</f>
        <v/>
      </c>
      <c r="H476">
        <f>IF(A476="","",IFERROR(INDEX(Workers!$F$3:$F$51,MATCH(A476,Workers!$A$3:$A$51,0)),"Invalid Worker ID"))</f>
        <v/>
      </c>
      <c r="K476">
        <f>A476&amp;"|"&amp;C476</f>
        <v/>
      </c>
    </row>
    <row r="477">
      <c r="B477">
        <f>IF(A477="","",IFERROR(INDEX(Workers!$B$3:$B$51,MATCH(A477,Workers!$A$3:$A$51,0)),"Invalid Worker ID"))</f>
        <v/>
      </c>
      <c r="C477" s="15" t="n"/>
      <c r="E477">
        <f>IF(A477="","",IFERROR(IF(INDEX(Workers!$D$3:$D$51,MATCH(A477,Workers!$A$3:$A$51,0))="Per Day",D477*INDEX(Workers!$E$3:$E$51,MATCH(A477,Workers!$A$3:$A$51,0)),INDEX(Workers!$E$3:$E$51,MATCH(A477,Workers!$A$3:$A$51,0))),"Invalid Worker ID"))</f>
        <v/>
      </c>
      <c r="G477">
        <f>IF(OR(A477="",E477="Invalid Worker ID"),"",E477-F477)</f>
        <v/>
      </c>
      <c r="H477">
        <f>IF(A477="","",IFERROR(INDEX(Workers!$F$3:$F$51,MATCH(A477,Workers!$A$3:$A$51,0)),"Invalid Worker ID"))</f>
        <v/>
      </c>
      <c r="K477">
        <f>A477&amp;"|"&amp;C477</f>
        <v/>
      </c>
    </row>
    <row r="478">
      <c r="B478">
        <f>IF(A478="","",IFERROR(INDEX(Workers!$B$3:$B$51,MATCH(A478,Workers!$A$3:$A$51,0)),"Invalid Worker ID"))</f>
        <v/>
      </c>
      <c r="C478" s="15" t="n"/>
      <c r="E478">
        <f>IF(A478="","",IFERROR(IF(INDEX(Workers!$D$3:$D$51,MATCH(A478,Workers!$A$3:$A$51,0))="Per Day",D478*INDEX(Workers!$E$3:$E$51,MATCH(A478,Workers!$A$3:$A$51,0)),INDEX(Workers!$E$3:$E$51,MATCH(A478,Workers!$A$3:$A$51,0))),"Invalid Worker ID"))</f>
        <v/>
      </c>
      <c r="G478">
        <f>IF(OR(A478="",E478="Invalid Worker ID"),"",E478-F478)</f>
        <v/>
      </c>
      <c r="H478">
        <f>IF(A478="","",IFERROR(INDEX(Workers!$F$3:$F$51,MATCH(A478,Workers!$A$3:$A$51,0)),"Invalid Worker ID"))</f>
        <v/>
      </c>
      <c r="K478">
        <f>A478&amp;"|"&amp;C478</f>
        <v/>
      </c>
    </row>
    <row r="479">
      <c r="B479">
        <f>IF(A479="","",IFERROR(INDEX(Workers!$B$3:$B$51,MATCH(A479,Workers!$A$3:$A$51,0)),"Invalid Worker ID"))</f>
        <v/>
      </c>
      <c r="C479" s="15" t="n"/>
      <c r="E479">
        <f>IF(A479="","",IFERROR(IF(INDEX(Workers!$D$3:$D$51,MATCH(A479,Workers!$A$3:$A$51,0))="Per Day",D479*INDEX(Workers!$E$3:$E$51,MATCH(A479,Workers!$A$3:$A$51,0)),INDEX(Workers!$E$3:$E$51,MATCH(A479,Workers!$A$3:$A$51,0))),"Invalid Worker ID"))</f>
        <v/>
      </c>
      <c r="G479">
        <f>IF(OR(A479="",E479="Invalid Worker ID"),"",E479-F479)</f>
        <v/>
      </c>
      <c r="H479">
        <f>IF(A479="","",IFERROR(INDEX(Workers!$F$3:$F$51,MATCH(A479,Workers!$A$3:$A$51,0)),"Invalid Worker ID"))</f>
        <v/>
      </c>
      <c r="K479">
        <f>A479&amp;"|"&amp;C479</f>
        <v/>
      </c>
    </row>
    <row r="480">
      <c r="B480">
        <f>IF(A480="","",IFERROR(INDEX(Workers!$B$3:$B$51,MATCH(A480,Workers!$A$3:$A$51,0)),"Invalid Worker ID"))</f>
        <v/>
      </c>
      <c r="C480" s="15" t="n"/>
      <c r="E480">
        <f>IF(A480="","",IFERROR(IF(INDEX(Workers!$D$3:$D$51,MATCH(A480,Workers!$A$3:$A$51,0))="Per Day",D480*INDEX(Workers!$E$3:$E$51,MATCH(A480,Workers!$A$3:$A$51,0)),INDEX(Workers!$E$3:$E$51,MATCH(A480,Workers!$A$3:$A$51,0))),"Invalid Worker ID"))</f>
        <v/>
      </c>
      <c r="G480">
        <f>IF(OR(A480="",E480="Invalid Worker ID"),"",E480-F480)</f>
        <v/>
      </c>
      <c r="H480">
        <f>IF(A480="","",IFERROR(INDEX(Workers!$F$3:$F$51,MATCH(A480,Workers!$A$3:$A$51,0)),"Invalid Worker ID"))</f>
        <v/>
      </c>
      <c r="K480">
        <f>A480&amp;"|"&amp;C480</f>
        <v/>
      </c>
    </row>
    <row r="481">
      <c r="B481">
        <f>IF(A481="","",IFERROR(INDEX(Workers!$B$3:$B$51,MATCH(A481,Workers!$A$3:$A$51,0)),"Invalid Worker ID"))</f>
        <v/>
      </c>
      <c r="C481" s="15" t="n"/>
      <c r="E481">
        <f>IF(A481="","",IFERROR(IF(INDEX(Workers!$D$3:$D$51,MATCH(A481,Workers!$A$3:$A$51,0))="Per Day",D481*INDEX(Workers!$E$3:$E$51,MATCH(A481,Workers!$A$3:$A$51,0)),INDEX(Workers!$E$3:$E$51,MATCH(A481,Workers!$A$3:$A$51,0))),"Invalid Worker ID"))</f>
        <v/>
      </c>
      <c r="G481">
        <f>IF(OR(A481="",E481="Invalid Worker ID"),"",E481-F481)</f>
        <v/>
      </c>
      <c r="H481">
        <f>IF(A481="","",IFERROR(INDEX(Workers!$F$3:$F$51,MATCH(A481,Workers!$A$3:$A$51,0)),"Invalid Worker ID"))</f>
        <v/>
      </c>
      <c r="K481">
        <f>A481&amp;"|"&amp;C481</f>
        <v/>
      </c>
    </row>
    <row r="482">
      <c r="B482">
        <f>IF(A482="","",IFERROR(INDEX(Workers!$B$3:$B$51,MATCH(A482,Workers!$A$3:$A$51,0)),"Invalid Worker ID"))</f>
        <v/>
      </c>
      <c r="C482" s="15" t="n"/>
      <c r="E482">
        <f>IF(A482="","",IFERROR(IF(INDEX(Workers!$D$3:$D$51,MATCH(A482,Workers!$A$3:$A$51,0))="Per Day",D482*INDEX(Workers!$E$3:$E$51,MATCH(A482,Workers!$A$3:$A$51,0)),INDEX(Workers!$E$3:$E$51,MATCH(A482,Workers!$A$3:$A$51,0))),"Invalid Worker ID"))</f>
        <v/>
      </c>
      <c r="G482">
        <f>IF(OR(A482="",E482="Invalid Worker ID"),"",E482-F482)</f>
        <v/>
      </c>
      <c r="H482">
        <f>IF(A482="","",IFERROR(INDEX(Workers!$F$3:$F$51,MATCH(A482,Workers!$A$3:$A$51,0)),"Invalid Worker ID"))</f>
        <v/>
      </c>
      <c r="K482">
        <f>A482&amp;"|"&amp;C482</f>
        <v/>
      </c>
    </row>
    <row r="483">
      <c r="B483">
        <f>IF(A483="","",IFERROR(INDEX(Workers!$B$3:$B$51,MATCH(A483,Workers!$A$3:$A$51,0)),"Invalid Worker ID"))</f>
        <v/>
      </c>
      <c r="C483" s="15" t="n"/>
      <c r="E483">
        <f>IF(A483="","",IFERROR(IF(INDEX(Workers!$D$3:$D$51,MATCH(A483,Workers!$A$3:$A$51,0))="Per Day",D483*INDEX(Workers!$E$3:$E$51,MATCH(A483,Workers!$A$3:$A$51,0)),INDEX(Workers!$E$3:$E$51,MATCH(A483,Workers!$A$3:$A$51,0))),"Invalid Worker ID"))</f>
        <v/>
      </c>
      <c r="G483">
        <f>IF(OR(A483="",E483="Invalid Worker ID"),"",E483-F483)</f>
        <v/>
      </c>
      <c r="H483">
        <f>IF(A483="","",IFERROR(INDEX(Workers!$F$3:$F$51,MATCH(A483,Workers!$A$3:$A$51,0)),"Invalid Worker ID"))</f>
        <v/>
      </c>
      <c r="K483">
        <f>A483&amp;"|"&amp;C483</f>
        <v/>
      </c>
    </row>
    <row r="484">
      <c r="B484">
        <f>IF(A484="","",IFERROR(INDEX(Workers!$B$3:$B$51,MATCH(A484,Workers!$A$3:$A$51,0)),"Invalid Worker ID"))</f>
        <v/>
      </c>
      <c r="C484" s="15" t="n"/>
      <c r="E484">
        <f>IF(A484="","",IFERROR(IF(INDEX(Workers!$D$3:$D$51,MATCH(A484,Workers!$A$3:$A$51,0))="Per Day",D484*INDEX(Workers!$E$3:$E$51,MATCH(A484,Workers!$A$3:$A$51,0)),INDEX(Workers!$E$3:$E$51,MATCH(A484,Workers!$A$3:$A$51,0))),"Invalid Worker ID"))</f>
        <v/>
      </c>
      <c r="G484">
        <f>IF(OR(A484="",E484="Invalid Worker ID"),"",E484-F484)</f>
        <v/>
      </c>
      <c r="H484">
        <f>IF(A484="","",IFERROR(INDEX(Workers!$F$3:$F$51,MATCH(A484,Workers!$A$3:$A$51,0)),"Invalid Worker ID"))</f>
        <v/>
      </c>
      <c r="K484">
        <f>A484&amp;"|"&amp;C484</f>
        <v/>
      </c>
    </row>
    <row r="485">
      <c r="B485">
        <f>IF(A485="","",IFERROR(INDEX(Workers!$B$3:$B$51,MATCH(A485,Workers!$A$3:$A$51,0)),"Invalid Worker ID"))</f>
        <v/>
      </c>
      <c r="C485" s="15" t="n"/>
      <c r="E485">
        <f>IF(A485="","",IFERROR(IF(INDEX(Workers!$D$3:$D$51,MATCH(A485,Workers!$A$3:$A$51,0))="Per Day",D485*INDEX(Workers!$E$3:$E$51,MATCH(A485,Workers!$A$3:$A$51,0)),INDEX(Workers!$E$3:$E$51,MATCH(A485,Workers!$A$3:$A$51,0))),"Invalid Worker ID"))</f>
        <v/>
      </c>
      <c r="G485">
        <f>IF(OR(A485="",E485="Invalid Worker ID"),"",E485-F485)</f>
        <v/>
      </c>
      <c r="H485">
        <f>IF(A485="","",IFERROR(INDEX(Workers!$F$3:$F$51,MATCH(A485,Workers!$A$3:$A$51,0)),"Invalid Worker ID"))</f>
        <v/>
      </c>
      <c r="K485">
        <f>A485&amp;"|"&amp;C485</f>
        <v/>
      </c>
    </row>
    <row r="486">
      <c r="B486">
        <f>IF(A486="","",IFERROR(INDEX(Workers!$B$3:$B$51,MATCH(A486,Workers!$A$3:$A$51,0)),"Invalid Worker ID"))</f>
        <v/>
      </c>
      <c r="C486" s="15" t="n"/>
      <c r="E486">
        <f>IF(A486="","",IFERROR(IF(INDEX(Workers!$D$3:$D$51,MATCH(A486,Workers!$A$3:$A$51,0))="Per Day",D486*INDEX(Workers!$E$3:$E$51,MATCH(A486,Workers!$A$3:$A$51,0)),INDEX(Workers!$E$3:$E$51,MATCH(A486,Workers!$A$3:$A$51,0))),"Invalid Worker ID"))</f>
        <v/>
      </c>
      <c r="G486">
        <f>IF(OR(A486="",E486="Invalid Worker ID"),"",E486-F486)</f>
        <v/>
      </c>
      <c r="H486">
        <f>IF(A486="","",IFERROR(INDEX(Workers!$F$3:$F$51,MATCH(A486,Workers!$A$3:$A$51,0)),"Invalid Worker ID"))</f>
        <v/>
      </c>
      <c r="K486">
        <f>A486&amp;"|"&amp;C486</f>
        <v/>
      </c>
    </row>
    <row r="487">
      <c r="B487">
        <f>IF(A487="","",IFERROR(INDEX(Workers!$B$3:$B$51,MATCH(A487,Workers!$A$3:$A$51,0)),"Invalid Worker ID"))</f>
        <v/>
      </c>
      <c r="C487" s="15" t="n"/>
      <c r="E487">
        <f>IF(A487="","",IFERROR(IF(INDEX(Workers!$D$3:$D$51,MATCH(A487,Workers!$A$3:$A$51,0))="Per Day",D487*INDEX(Workers!$E$3:$E$51,MATCH(A487,Workers!$A$3:$A$51,0)),INDEX(Workers!$E$3:$E$51,MATCH(A487,Workers!$A$3:$A$51,0))),"Invalid Worker ID"))</f>
        <v/>
      </c>
      <c r="G487">
        <f>IF(OR(A487="",E487="Invalid Worker ID"),"",E487-F487)</f>
        <v/>
      </c>
      <c r="H487">
        <f>IF(A487="","",IFERROR(INDEX(Workers!$F$3:$F$51,MATCH(A487,Workers!$A$3:$A$51,0)),"Invalid Worker ID"))</f>
        <v/>
      </c>
      <c r="K487">
        <f>A487&amp;"|"&amp;C487</f>
        <v/>
      </c>
    </row>
    <row r="488">
      <c r="B488">
        <f>IF(A488="","",IFERROR(INDEX(Workers!$B$3:$B$51,MATCH(A488,Workers!$A$3:$A$51,0)),"Invalid Worker ID"))</f>
        <v/>
      </c>
      <c r="C488" s="15" t="n"/>
      <c r="E488">
        <f>IF(A488="","",IFERROR(IF(INDEX(Workers!$D$3:$D$51,MATCH(A488,Workers!$A$3:$A$51,0))="Per Day",D488*INDEX(Workers!$E$3:$E$51,MATCH(A488,Workers!$A$3:$A$51,0)),INDEX(Workers!$E$3:$E$51,MATCH(A488,Workers!$A$3:$A$51,0))),"Invalid Worker ID"))</f>
        <v/>
      </c>
      <c r="G488">
        <f>IF(OR(A488="",E488="Invalid Worker ID"),"",E488-F488)</f>
        <v/>
      </c>
      <c r="H488">
        <f>IF(A488="","",IFERROR(INDEX(Workers!$F$3:$F$51,MATCH(A488,Workers!$A$3:$A$51,0)),"Invalid Worker ID"))</f>
        <v/>
      </c>
      <c r="K488">
        <f>A488&amp;"|"&amp;C488</f>
        <v/>
      </c>
    </row>
    <row r="489">
      <c r="B489">
        <f>IF(A489="","",IFERROR(INDEX(Workers!$B$3:$B$51,MATCH(A489,Workers!$A$3:$A$51,0)),"Invalid Worker ID"))</f>
        <v/>
      </c>
      <c r="C489" s="15" t="n"/>
      <c r="E489">
        <f>IF(A489="","",IFERROR(IF(INDEX(Workers!$D$3:$D$51,MATCH(A489,Workers!$A$3:$A$51,0))="Per Day",D489*INDEX(Workers!$E$3:$E$51,MATCH(A489,Workers!$A$3:$A$51,0)),INDEX(Workers!$E$3:$E$51,MATCH(A489,Workers!$A$3:$A$51,0))),"Invalid Worker ID"))</f>
        <v/>
      </c>
      <c r="G489">
        <f>IF(OR(A489="",E489="Invalid Worker ID"),"",E489-F489)</f>
        <v/>
      </c>
      <c r="H489">
        <f>IF(A489="","",IFERROR(INDEX(Workers!$F$3:$F$51,MATCH(A489,Workers!$A$3:$A$51,0)),"Invalid Worker ID"))</f>
        <v/>
      </c>
      <c r="K489">
        <f>A489&amp;"|"&amp;C489</f>
        <v/>
      </c>
    </row>
    <row r="490">
      <c r="B490">
        <f>IF(A490="","",IFERROR(INDEX(Workers!$B$3:$B$51,MATCH(A490,Workers!$A$3:$A$51,0)),"Invalid Worker ID"))</f>
        <v/>
      </c>
      <c r="C490" s="15" t="n"/>
      <c r="E490">
        <f>IF(A490="","",IFERROR(IF(INDEX(Workers!$D$3:$D$51,MATCH(A490,Workers!$A$3:$A$51,0))="Per Day",D490*INDEX(Workers!$E$3:$E$51,MATCH(A490,Workers!$A$3:$A$51,0)),INDEX(Workers!$E$3:$E$51,MATCH(A490,Workers!$A$3:$A$51,0))),"Invalid Worker ID"))</f>
        <v/>
      </c>
      <c r="G490">
        <f>IF(OR(A490="",E490="Invalid Worker ID"),"",E490-F490)</f>
        <v/>
      </c>
      <c r="H490">
        <f>IF(A490="","",IFERROR(INDEX(Workers!$F$3:$F$51,MATCH(A490,Workers!$A$3:$A$51,0)),"Invalid Worker ID"))</f>
        <v/>
      </c>
      <c r="K490">
        <f>A490&amp;"|"&amp;C490</f>
        <v/>
      </c>
    </row>
    <row r="491">
      <c r="B491">
        <f>IF(A491="","",IFERROR(INDEX(Workers!$B$3:$B$51,MATCH(A491,Workers!$A$3:$A$51,0)),"Invalid Worker ID"))</f>
        <v/>
      </c>
      <c r="C491" s="15" t="n"/>
      <c r="E491">
        <f>IF(A491="","",IFERROR(IF(INDEX(Workers!$D$3:$D$51,MATCH(A491,Workers!$A$3:$A$51,0))="Per Day",D491*INDEX(Workers!$E$3:$E$51,MATCH(A491,Workers!$A$3:$A$51,0)),INDEX(Workers!$E$3:$E$51,MATCH(A491,Workers!$A$3:$A$51,0))),"Invalid Worker ID"))</f>
        <v/>
      </c>
      <c r="G491">
        <f>IF(OR(A491="",E491="Invalid Worker ID"),"",E491-F491)</f>
        <v/>
      </c>
      <c r="H491">
        <f>IF(A491="","",IFERROR(INDEX(Workers!$F$3:$F$51,MATCH(A491,Workers!$A$3:$A$51,0)),"Invalid Worker ID"))</f>
        <v/>
      </c>
      <c r="K491">
        <f>A491&amp;"|"&amp;C491</f>
        <v/>
      </c>
    </row>
    <row r="492">
      <c r="B492">
        <f>IF(A492="","",IFERROR(INDEX(Workers!$B$3:$B$51,MATCH(A492,Workers!$A$3:$A$51,0)),"Invalid Worker ID"))</f>
        <v/>
      </c>
      <c r="C492" s="15" t="n"/>
      <c r="E492">
        <f>IF(A492="","",IFERROR(IF(INDEX(Workers!$D$3:$D$51,MATCH(A492,Workers!$A$3:$A$51,0))="Per Day",D492*INDEX(Workers!$E$3:$E$51,MATCH(A492,Workers!$A$3:$A$51,0)),INDEX(Workers!$E$3:$E$51,MATCH(A492,Workers!$A$3:$A$51,0))),"Invalid Worker ID"))</f>
        <v/>
      </c>
      <c r="G492">
        <f>IF(OR(A492="",E492="Invalid Worker ID"),"",E492-F492)</f>
        <v/>
      </c>
      <c r="H492">
        <f>IF(A492="","",IFERROR(INDEX(Workers!$F$3:$F$51,MATCH(A492,Workers!$A$3:$A$51,0)),"Invalid Worker ID"))</f>
        <v/>
      </c>
      <c r="K492">
        <f>A492&amp;"|"&amp;C492</f>
        <v/>
      </c>
    </row>
    <row r="493">
      <c r="B493">
        <f>IF(A493="","",IFERROR(INDEX(Workers!$B$3:$B$51,MATCH(A493,Workers!$A$3:$A$51,0)),"Invalid Worker ID"))</f>
        <v/>
      </c>
      <c r="C493" s="15" t="n"/>
      <c r="E493">
        <f>IF(A493="","",IFERROR(IF(INDEX(Workers!$D$3:$D$51,MATCH(A493,Workers!$A$3:$A$51,0))="Per Day",D493*INDEX(Workers!$E$3:$E$51,MATCH(A493,Workers!$A$3:$A$51,0)),INDEX(Workers!$E$3:$E$51,MATCH(A493,Workers!$A$3:$A$51,0))),"Invalid Worker ID"))</f>
        <v/>
      </c>
      <c r="G493">
        <f>IF(OR(A493="",E493="Invalid Worker ID"),"",E493-F493)</f>
        <v/>
      </c>
      <c r="H493">
        <f>IF(A493="","",IFERROR(INDEX(Workers!$F$3:$F$51,MATCH(A493,Workers!$A$3:$A$51,0)),"Invalid Worker ID"))</f>
        <v/>
      </c>
      <c r="K493">
        <f>A493&amp;"|"&amp;C493</f>
        <v/>
      </c>
    </row>
    <row r="494">
      <c r="B494">
        <f>IF(A494="","",IFERROR(INDEX(Workers!$B$3:$B$51,MATCH(A494,Workers!$A$3:$A$51,0)),"Invalid Worker ID"))</f>
        <v/>
      </c>
      <c r="C494" s="15" t="n"/>
      <c r="E494">
        <f>IF(A494="","",IFERROR(IF(INDEX(Workers!$D$3:$D$51,MATCH(A494,Workers!$A$3:$A$51,0))="Per Day",D494*INDEX(Workers!$E$3:$E$51,MATCH(A494,Workers!$A$3:$A$51,0)),INDEX(Workers!$E$3:$E$51,MATCH(A494,Workers!$A$3:$A$51,0))),"Invalid Worker ID"))</f>
        <v/>
      </c>
      <c r="G494">
        <f>IF(OR(A494="",E494="Invalid Worker ID"),"",E494-F494)</f>
        <v/>
      </c>
      <c r="H494">
        <f>IF(A494="","",IFERROR(INDEX(Workers!$F$3:$F$51,MATCH(A494,Workers!$A$3:$A$51,0)),"Invalid Worker ID"))</f>
        <v/>
      </c>
      <c r="K494">
        <f>A494&amp;"|"&amp;C494</f>
        <v/>
      </c>
    </row>
    <row r="495">
      <c r="B495">
        <f>IF(A495="","",IFERROR(INDEX(Workers!$B$3:$B$51,MATCH(A495,Workers!$A$3:$A$51,0)),"Invalid Worker ID"))</f>
        <v/>
      </c>
      <c r="C495" s="15" t="n"/>
      <c r="E495">
        <f>IF(A495="","",IFERROR(IF(INDEX(Workers!$D$3:$D$51,MATCH(A495,Workers!$A$3:$A$51,0))="Per Day",D495*INDEX(Workers!$E$3:$E$51,MATCH(A495,Workers!$A$3:$A$51,0)),INDEX(Workers!$E$3:$E$51,MATCH(A495,Workers!$A$3:$A$51,0))),"Invalid Worker ID"))</f>
        <v/>
      </c>
      <c r="G495">
        <f>IF(OR(A495="",E495="Invalid Worker ID"),"",E495-F495)</f>
        <v/>
      </c>
      <c r="H495">
        <f>IF(A495="","",IFERROR(INDEX(Workers!$F$3:$F$51,MATCH(A495,Workers!$A$3:$A$51,0)),"Invalid Worker ID"))</f>
        <v/>
      </c>
      <c r="K495">
        <f>A495&amp;"|"&amp;C495</f>
        <v/>
      </c>
    </row>
    <row r="496">
      <c r="B496">
        <f>IF(A496="","",IFERROR(INDEX(Workers!$B$3:$B$51,MATCH(A496,Workers!$A$3:$A$51,0)),"Invalid Worker ID"))</f>
        <v/>
      </c>
      <c r="C496" s="15" t="n"/>
      <c r="E496">
        <f>IF(A496="","",IFERROR(IF(INDEX(Workers!$D$3:$D$51,MATCH(A496,Workers!$A$3:$A$51,0))="Per Day",D496*INDEX(Workers!$E$3:$E$51,MATCH(A496,Workers!$A$3:$A$51,0)),INDEX(Workers!$E$3:$E$51,MATCH(A496,Workers!$A$3:$A$51,0))),"Invalid Worker ID"))</f>
        <v/>
      </c>
      <c r="G496">
        <f>IF(OR(A496="",E496="Invalid Worker ID"),"",E496-F496)</f>
        <v/>
      </c>
      <c r="H496">
        <f>IF(A496="","",IFERROR(INDEX(Workers!$F$3:$F$51,MATCH(A496,Workers!$A$3:$A$51,0)),"Invalid Worker ID"))</f>
        <v/>
      </c>
      <c r="K496">
        <f>A496&amp;"|"&amp;C496</f>
        <v/>
      </c>
    </row>
    <row r="497">
      <c r="B497">
        <f>IF(A497="","",IFERROR(INDEX(Workers!$B$3:$B$51,MATCH(A497,Workers!$A$3:$A$51,0)),"Invalid Worker ID"))</f>
        <v/>
      </c>
      <c r="C497" s="15" t="n"/>
      <c r="E497">
        <f>IF(A497="","",IFERROR(IF(INDEX(Workers!$D$3:$D$51,MATCH(A497,Workers!$A$3:$A$51,0))="Per Day",D497*INDEX(Workers!$E$3:$E$51,MATCH(A497,Workers!$A$3:$A$51,0)),INDEX(Workers!$E$3:$E$51,MATCH(A497,Workers!$A$3:$A$51,0))),"Invalid Worker ID"))</f>
        <v/>
      </c>
      <c r="G497">
        <f>IF(OR(A497="",E497="Invalid Worker ID"),"",E497-F497)</f>
        <v/>
      </c>
      <c r="H497">
        <f>IF(A497="","",IFERROR(INDEX(Workers!$F$3:$F$51,MATCH(A497,Workers!$A$3:$A$51,0)),"Invalid Worker ID"))</f>
        <v/>
      </c>
      <c r="K497">
        <f>A497&amp;"|"&amp;C497</f>
        <v/>
      </c>
    </row>
    <row r="498">
      <c r="B498">
        <f>IF(A498="","",IFERROR(INDEX(Workers!$B$3:$B$51,MATCH(A498,Workers!$A$3:$A$51,0)),"Invalid Worker ID"))</f>
        <v/>
      </c>
      <c r="C498" s="15" t="n"/>
      <c r="E498">
        <f>IF(A498="","",IFERROR(IF(INDEX(Workers!$D$3:$D$51,MATCH(A498,Workers!$A$3:$A$51,0))="Per Day",D498*INDEX(Workers!$E$3:$E$51,MATCH(A498,Workers!$A$3:$A$51,0)),INDEX(Workers!$E$3:$E$51,MATCH(A498,Workers!$A$3:$A$51,0))),"Invalid Worker ID"))</f>
        <v/>
      </c>
      <c r="G498">
        <f>IF(OR(A498="",E498="Invalid Worker ID"),"",E498-F498)</f>
        <v/>
      </c>
      <c r="H498">
        <f>IF(A498="","",IFERROR(INDEX(Workers!$F$3:$F$51,MATCH(A498,Workers!$A$3:$A$51,0)),"Invalid Worker ID"))</f>
        <v/>
      </c>
      <c r="K498">
        <f>A498&amp;"|"&amp;C498</f>
        <v/>
      </c>
    </row>
    <row r="499">
      <c r="B499">
        <f>IF(A499="","",IFERROR(INDEX(Workers!$B$3:$B$51,MATCH(A499,Workers!$A$3:$A$51,0)),"Invalid Worker ID"))</f>
        <v/>
      </c>
      <c r="C499" s="15" t="n"/>
      <c r="E499">
        <f>IF(A499="","",IFERROR(IF(INDEX(Workers!$D$3:$D$51,MATCH(A499,Workers!$A$3:$A$51,0))="Per Day",D499*INDEX(Workers!$E$3:$E$51,MATCH(A499,Workers!$A$3:$A$51,0)),INDEX(Workers!$E$3:$E$51,MATCH(A499,Workers!$A$3:$A$51,0))),"Invalid Worker ID"))</f>
        <v/>
      </c>
      <c r="G499">
        <f>IF(OR(A499="",E499="Invalid Worker ID"),"",E499-F499)</f>
        <v/>
      </c>
      <c r="H499">
        <f>IF(A499="","",IFERROR(INDEX(Workers!$F$3:$F$51,MATCH(A499,Workers!$A$3:$A$51,0)),"Invalid Worker ID"))</f>
        <v/>
      </c>
      <c r="K499">
        <f>A499&amp;"|"&amp;C499</f>
        <v/>
      </c>
    </row>
    <row r="500">
      <c r="B500">
        <f>IF(A500="","",IFERROR(INDEX(Workers!$B$3:$B$51,MATCH(A500,Workers!$A$3:$A$51,0)),"Invalid Worker ID"))</f>
        <v/>
      </c>
      <c r="C500" s="15" t="n"/>
      <c r="E500">
        <f>IF(A500="","",IFERROR(IF(INDEX(Workers!$D$3:$D$51,MATCH(A500,Workers!$A$3:$A$51,0))="Per Day",D500*INDEX(Workers!$E$3:$E$51,MATCH(A500,Workers!$A$3:$A$51,0)),INDEX(Workers!$E$3:$E$51,MATCH(A500,Workers!$A$3:$A$51,0))),"Invalid Worker ID"))</f>
        <v/>
      </c>
      <c r="G500">
        <f>IF(OR(A500="",E500="Invalid Worker ID"),"",E500-F500)</f>
        <v/>
      </c>
      <c r="H500">
        <f>IF(A500="","",IFERROR(INDEX(Workers!$F$3:$F$51,MATCH(A500,Workers!$A$3:$A$51,0)),"Invalid Worker ID"))</f>
        <v/>
      </c>
      <c r="K500">
        <f>A500&amp;"|"&amp;C500</f>
        <v/>
      </c>
    </row>
    <row r="501">
      <c r="B501">
        <f>IF(A501="","",IFERROR(INDEX(Workers!$B$3:$B$51,MATCH(A501,Workers!$A$3:$A$51,0)),"Invalid Worker ID"))</f>
        <v/>
      </c>
      <c r="C501" s="15" t="n"/>
      <c r="E501">
        <f>IF(A501="","",IFERROR(IF(INDEX(Workers!$D$3:$D$51,MATCH(A501,Workers!$A$3:$A$51,0))="Per Day",D501*INDEX(Workers!$E$3:$E$51,MATCH(A501,Workers!$A$3:$A$51,0)),INDEX(Workers!$E$3:$E$51,MATCH(A501,Workers!$A$3:$A$51,0))),"Invalid Worker ID"))</f>
        <v/>
      </c>
      <c r="G501">
        <f>IF(OR(A501="",E501="Invalid Worker ID"),"",E501-F501)</f>
        <v/>
      </c>
      <c r="H501">
        <f>IF(A501="","",IFERROR(INDEX(Workers!$F$3:$F$51,MATCH(A501,Workers!$A$3:$A$51,0)),"Invalid Worker ID"))</f>
        <v/>
      </c>
      <c r="K501">
        <f>A501&amp;"|"&amp;C501</f>
        <v/>
      </c>
    </row>
  </sheetData>
  <dataValidations count="1">
    <dataValidation sqref="C3:C501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Z18"/>
  <sheetViews>
    <sheetView workbookViewId="0">
      <selection activeCell="B18" sqref="B18"/>
    </sheetView>
  </sheetViews>
  <sheetFormatPr baseColWidth="10" defaultColWidth="8.83203125" defaultRowHeight="15"/>
  <cols>
    <col width="22" customWidth="1" min="1" max="1"/>
    <col width="30" customWidth="1" min="2" max="2"/>
    <col hidden="1" width="13" customWidth="1" min="26" max="26"/>
  </cols>
  <sheetData>
    <row r="1" ht="19" customHeight="1">
      <c r="A1" s="10" t="inlineStr">
        <is>
          <t>Payslip</t>
        </is>
      </c>
      <c r="Z1">
        <f>IFERROR(MATCH(B6&amp;"|"&amp;B4,PayEntries!$K$3:$K$501,0),0)</f>
        <v/>
      </c>
    </row>
    <row r="3" ht="16" customHeight="1">
      <c r="A3" s="11" t="inlineStr">
        <is>
          <t>Worker:</t>
        </is>
      </c>
      <c r="B3" s="12" t="n"/>
    </row>
    <row r="4" ht="16" customHeight="1">
      <c r="A4" s="11" t="inlineStr">
        <is>
          <t>Month:</t>
        </is>
      </c>
      <c r="B4" s="12" t="n"/>
    </row>
    <row r="6" ht="16" customHeight="1">
      <c r="A6" s="11" t="inlineStr">
        <is>
          <t>Worker ID:</t>
        </is>
      </c>
      <c r="B6" s="12">
        <f>IF($B$3="","",INDEX(Workers!$A$3:$A$51,MATCH($B$3,Workers!$B$3:$B$51,0)))</f>
        <v/>
      </c>
    </row>
    <row r="7" ht="16" customHeight="1">
      <c r="A7" s="11" t="inlineStr">
        <is>
          <t>Role:</t>
        </is>
      </c>
      <c r="B7" s="12">
        <f>IF($B$3="","",INDEX(Workers!$C$3:$C$51,MATCH($B$3,Workers!$B$3:$B$51,0)))</f>
        <v/>
      </c>
    </row>
    <row r="8" ht="16" customHeight="1">
      <c r="A8" s="11" t="inlineStr">
        <is>
          <t>Rate Type:</t>
        </is>
      </c>
      <c r="B8" s="12">
        <f>IF($B$3="","",INDEX(Workers!$D$3:$D$51,MATCH($B$3,Workers!$B$3:$B$51,0)))</f>
        <v/>
      </c>
    </row>
    <row r="9" ht="16" customHeight="1">
      <c r="A9" s="11" t="inlineStr">
        <is>
          <t>Rate / Agreed Amount:</t>
        </is>
      </c>
      <c r="B9" s="12">
        <f>IF($B$3="","",INDEX(Workers!$E$3:$E$51,MATCH($B$3,Workers!$B$3:$B$51,0)))</f>
        <v/>
      </c>
    </row>
    <row r="12">
      <c r="B12">
        <f>IF(Z1=0,"No pay entry found for this period","")</f>
        <v/>
      </c>
    </row>
    <row r="13" ht="16" customHeight="1">
      <c r="A13" s="11" t="inlineStr">
        <is>
          <t>Days Worked:</t>
        </is>
      </c>
      <c r="B13" s="12">
        <f>IF(Z1=0,"",INDEX(PayEntries!$D$3:$D$501,Z1))</f>
        <v/>
      </c>
    </row>
    <row r="14" ht="16" customHeight="1">
      <c r="A14" s="11" t="inlineStr">
        <is>
          <t>Gross Pay:</t>
        </is>
      </c>
      <c r="B14" s="12">
        <f>IF(Z1=0,"",INDEX(PayEntries!$E$3:$E$501,Z1))</f>
        <v/>
      </c>
    </row>
    <row r="15" ht="16" customHeight="1">
      <c r="A15" s="11" t="inlineStr">
        <is>
          <t>Advance/Deduction:</t>
        </is>
      </c>
      <c r="B15" s="12">
        <f>IF(Z1=0,"",INDEX(PayEntries!$F$3:$F$501,Z1))</f>
        <v/>
      </c>
    </row>
    <row r="16" ht="17" customHeight="1">
      <c r="A16" s="11" t="inlineStr">
        <is>
          <t>Net Pay:</t>
        </is>
      </c>
      <c r="B16" s="13">
        <f>IF(Z1=0,"",INDEX(PayEntries!$G$3:$G$501,Z1))</f>
        <v/>
      </c>
    </row>
    <row r="17" ht="16" customHeight="1">
      <c r="A17" s="11" t="inlineStr">
        <is>
          <t>Payment Mode:</t>
        </is>
      </c>
      <c r="B17" s="12">
        <f>IF(Z1=0,"",INDEX(PayEntries!$H$3:$H$501,Z1))</f>
        <v/>
      </c>
    </row>
    <row r="18" ht="16" customHeight="1">
      <c r="A18" s="11" t="inlineStr">
        <is>
          <t>Generated On:</t>
        </is>
      </c>
      <c r="B18" s="12" t="n"/>
    </row>
  </sheetData>
  <dataValidations count="1">
    <dataValidation sqref="B4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2026-07-05T03:25:18Z</dcterms:created>
  <dcterms:modified xsi:type="dcterms:W3CDTF">2026-07-05T15:53:50Z</dcterms:modified>
  <cp:lastModifiedBy>sunil B</cp:lastModifiedBy>
  <cp:lastPrinted>2026-07-05T13:26:06Z</cp:lastPrinted>
</cp:coreProperties>
</file>