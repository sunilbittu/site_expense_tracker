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0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</sheets>
  <definedNames>
    <definedName name="_xleta.EXP" hidden="1" xlm="1">#NAME?</definedName>
    <definedName name="Cat_Buildings_Amenities">Categories!$L$3:$L$10</definedName>
    <definedName name="Cat_Labour_Contractors">Categories!$M$3:$M$7</definedName>
    <definedName name="Cat_Land_Legal">Categories!$H$3:$H$9</definedName>
    <definedName name="Cat_Landscaping">Categories!$K$3:$K$7</definedName>
    <definedName name="Cat_Marketing_Sales">Categories!$P$3:$P$8</definedName>
    <definedName name="Cat_Materials">Categories!$N$3:$N$11</definedName>
    <definedName name="Cat_Miscellaneous">Categories!$Q$3:$Q$7</definedName>
    <definedName name="Cat_Operations">Categories!$O$3:$O$9</definedName>
    <definedName name="Cat_Site_Development">Categories!$I$3:$I$11</definedName>
    <definedName name="Cat_Utilities">Categories!$J$3:$J$9</definedName>
    <definedName name="IncomeCategories">Categories!$A$3:$A$6</definedName>
    <definedName name="MainCategories">Categories!$F$3:$F$12</definedName>
    <definedName name="_xlnm.Print_Area" localSheetId="0">'Dashboard'!$A$1:$R$41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7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sz val="12"/>
    </font>
  </fonts>
  <fills count="6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</fills>
  <borders count="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0" fontId="4" fillId="0" borderId="0" pivotButton="0" quotePrefix="0" xfId="0"/>
    <xf numFmtId="0" fontId="2" fillId="4" borderId="0" applyAlignment="1" pivotButton="0" quotePrefix="0" xfId="0">
      <alignment horizontal="center"/>
    </xf>
    <xf numFmtId="4" fontId="5" fillId="0" borderId="1" pivotButton="0" quotePrefix="0" xfId="0"/>
    <xf numFmtId="4" fontId="0" fillId="0" borderId="0" pivotButton="0" quotePrefix="0" xfId="0"/>
    <xf numFmtId="0" fontId="2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/>
    </xf>
    <xf numFmtId="16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Balance Trend</a:t>
            </a:r>
          </a:p>
        </rich>
      </tx>
      <overlay val="1"/>
    </title>
    <plotArea>
      <layout/>
      <lineChart>
        <grouping val="standard"/>
        <varyColors val="1"/>
        <ser>
          <idx val="0"/>
          <order val="0"/>
          <tx>
            <strRef>
              <f>Dashboard!$D$44</f>
              <strCache>
                <ptCount val="1"/>
                <pt idx="0">
                  <v>Closing Balance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Dashboard!$A$45:$A$56</f>
              <strCache>
                <ptCount val="12"/>
                <pt idx="0">
                  <v>Jan2026</v>
                </pt>
                <pt idx="1">
                  <v>Feb2026</v>
                </pt>
                <pt idx="2">
                  <v>Mar2026</v>
                </pt>
                <pt idx="3">
                  <v>Apr2026</v>
                </pt>
                <pt idx="4">
                  <v>May2026</v>
                </pt>
                <pt idx="5">
                  <v>Jun2026</v>
                </pt>
                <pt idx="6">
                  <v>Jul2026</v>
                </pt>
                <pt idx="7">
                  <v>Aug2026</v>
                </pt>
                <pt idx="8">
                  <v>Sep2026</v>
                </pt>
                <pt idx="9">
                  <v>Oct2026</v>
                </pt>
                <pt idx="10">
                  <v>Nov2026</v>
                </pt>
                <pt idx="11">
                  <v>Dec2026</v>
                </pt>
              </strCache>
            </strRef>
          </cat>
          <val>
            <numRef>
              <f>Dashboard!$D$45:$D$56</f>
              <numCache>
                <formatCode>#,##0.00</formatCode>
                <ptCount val="12"/>
                <pt idx="0">
                  <v>975000</v>
                </pt>
                <pt idx="1">
                  <v>1595000</v>
                </pt>
                <pt idx="2">
                  <v>3005000</v>
                </pt>
                <pt idx="3">
                  <v>5110000</v>
                </pt>
                <pt idx="4">
                  <v>5095000</v>
                </pt>
                <pt idx="5">
                  <v>5095000</v>
                </pt>
                <pt idx="6">
                  <v>5095000</v>
                </pt>
                <pt idx="7">
                  <v>5095000</v>
                </pt>
                <pt idx="8">
                  <v>5095000</v>
                </pt>
                <pt idx="9">
                  <v>5095000</v>
                </pt>
                <pt idx="10">
                  <v>5095000</v>
                </pt>
                <pt idx="11">
                  <v>5095000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"/>
        <axId val="100"/>
      </lineChart>
      <catAx>
        <axId val="10"/>
        <scaling>
          <orientation val="minMax"/>
        </scaling>
        <delete val="1"/>
        <axPos val="b"/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noMultiLvlLbl val="1"/>
      </catAx>
      <valAx>
        <axId val="100"/>
        <scaling>
          <orientation val="minMax"/>
        </scaling>
        <delete val="1"/>
        <axPos val="l"/>
        <majorGridlines/>
        <numFmt formatCode="#,##0.00" sourceLinked="1"/>
        <majorTickMark val="none"/>
        <minorTickMark val="none"/>
        <tickLblPos val="nextTo"/>
        <crossAx val="1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Monthly Receipts vs Payments</a:t>
            </a:r>
          </a:p>
        </rich>
      </tx>
      <overlay val="1"/>
    </title>
    <plotArea>
      <layout/>
      <barChart>
        <barDir val="col"/>
        <grouping val="clustered"/>
        <varyColors val="1"/>
        <ser>
          <idx val="0"/>
          <order val="0"/>
          <tx>
            <strRef>
              <f>Dashboard!$B$44</f>
              <strCache>
                <ptCount val="1"/>
                <pt idx="0">
                  <v>Receipts</v>
                </pt>
              </strCache>
            </strRef>
          </tx>
          <spPr>
            <a:ln>
              <a:prstDash val="solid"/>
            </a:ln>
          </spPr>
          <invertIfNegative val="1"/>
          <cat>
            <strRef>
              <f>Dashboard!$A$45:$A$56</f>
              <strCache>
                <ptCount val="12"/>
                <pt idx="0">
                  <v>Jan2026</v>
                </pt>
                <pt idx="1">
                  <v>Feb2026</v>
                </pt>
                <pt idx="2">
                  <v>Mar2026</v>
                </pt>
                <pt idx="3">
                  <v>Apr2026</v>
                </pt>
                <pt idx="4">
                  <v>May2026</v>
                </pt>
                <pt idx="5">
                  <v>Jun2026</v>
                </pt>
                <pt idx="6">
                  <v>Jul2026</v>
                </pt>
                <pt idx="7">
                  <v>Aug2026</v>
                </pt>
                <pt idx="8">
                  <v>Sep2026</v>
                </pt>
                <pt idx="9">
                  <v>Oct2026</v>
                </pt>
                <pt idx="10">
                  <v>Nov2026</v>
                </pt>
                <pt idx="11">
                  <v>Dec2026</v>
                </pt>
              </strCache>
            </strRef>
          </cat>
          <val>
            <numRef>
              <f>Dashboard!$B$45:$B$56</f>
              <numCache>
                <formatCode>#,##0.00</formatCode>
                <ptCount val="12"/>
                <pt idx="0">
                  <v>2500000</v>
                </pt>
                <pt idx="1">
                  <v>1000000</v>
                </pt>
                <pt idx="2">
                  <v>1800000</v>
                </pt>
                <pt idx="3">
                  <v>2500000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1"/>
          <order val="1"/>
          <tx>
            <strRef>
              <f>Dashboard!$C$44</f>
              <strCache>
                <ptCount val="1"/>
                <pt idx="0">
                  <v>Payments</v>
                </pt>
              </strCache>
            </strRef>
          </tx>
          <spPr>
            <a:ln>
              <a:prstDash val="solid"/>
            </a:ln>
          </spPr>
          <invertIfNegative val="1"/>
          <cat>
            <strRef>
              <f>Dashboard!$A$45:$A$56</f>
              <strCache>
                <ptCount val="12"/>
                <pt idx="0">
                  <v>Jan2026</v>
                </pt>
                <pt idx="1">
                  <v>Feb2026</v>
                </pt>
                <pt idx="2">
                  <v>Mar2026</v>
                </pt>
                <pt idx="3">
                  <v>Apr2026</v>
                </pt>
                <pt idx="4">
                  <v>May2026</v>
                </pt>
                <pt idx="5">
                  <v>Jun2026</v>
                </pt>
                <pt idx="6">
                  <v>Jul2026</v>
                </pt>
                <pt idx="7">
                  <v>Aug2026</v>
                </pt>
                <pt idx="8">
                  <v>Sep2026</v>
                </pt>
                <pt idx="9">
                  <v>Oct2026</v>
                </pt>
                <pt idx="10">
                  <v>Nov2026</v>
                </pt>
                <pt idx="11">
                  <v>Dec2026</v>
                </pt>
              </strCache>
            </strRef>
          </cat>
          <val>
            <numRef>
              <f>Dashboard!$C$45:$C$56</f>
              <numCache>
                <formatCode>#,##0.00</formatCode>
                <ptCount val="12"/>
                <pt idx="0">
                  <v>1525000</v>
                </pt>
                <pt idx="1">
                  <v>380000</v>
                </pt>
                <pt idx="2">
                  <v>390000</v>
                </pt>
                <pt idx="3">
                  <v>395000</v>
                </pt>
                <pt idx="4">
                  <v>15000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b"/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noMultiLvlLbl val="1"/>
      </catAx>
      <valAx>
        <axId val="100"/>
        <scaling>
          <orientation val="minMax"/>
        </scaling>
        <delete val="1"/>
        <axPos val="l"/>
        <majorGridlines/>
        <numFmt formatCode="#,##0.00" sourceLinked="1"/>
        <majorTickMark val="none"/>
        <minorTickMark val="none"/>
        <tickLblPos val="nextTo"/>
        <crossAx val="10"/>
        <crosses val="autoZero"/>
        <crossBetween val="between"/>
      </valAx>
    </plotArea>
    <legend>
      <legendPos val="r"/>
      <overlay val="1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Spend by Main Category</a:t>
            </a:r>
          </a:p>
        </rich>
      </tx>
      <overlay val="1"/>
    </title>
    <plotArea>
      <layout/>
      <barChart>
        <barDir val="bar"/>
        <grouping val="clustered"/>
        <varyColors val="1"/>
        <ser>
          <idx val="0"/>
          <order val="0"/>
          <tx>
            <strRef>
              <f>Dashboard!$G$44</f>
              <strCache>
                <ptCount val="1"/>
                <pt idx="0">
                  <v>Amount</v>
                </pt>
              </strCache>
            </strRef>
          </tx>
          <spPr>
            <a:ln>
              <a:prstDash val="solid"/>
            </a:ln>
          </spPr>
          <invertIfNegative val="1"/>
          <cat>
            <strRef>
              <f>Dashboard!$F$45:$F$54</f>
              <strCache>
                <ptCount val="10"/>
                <pt idx="0">
                  <v>Land &amp; Legal</v>
                </pt>
                <pt idx="1">
                  <v>Site Development</v>
                </pt>
                <pt idx="2">
                  <v>Utilities</v>
                </pt>
                <pt idx="3">
                  <v>Landscaping</v>
                </pt>
                <pt idx="4">
                  <v>Buildings &amp; Amenities</v>
                </pt>
                <pt idx="5">
                  <v>Labour &amp; Contractors</v>
                </pt>
                <pt idx="6">
                  <v>Materials</v>
                </pt>
                <pt idx="7">
                  <v>Operations</v>
                </pt>
                <pt idx="8">
                  <v>Marketing &amp; Sales</v>
                </pt>
                <pt idx="9">
                  <v>Miscellaneous</v>
                </pt>
              </strCache>
            </strRef>
          </cat>
          <val>
            <numRef>
              <f>Dashboard!$G$45:$G$54</f>
              <numCache>
                <formatCode>#,##0.00</formatCode>
                <ptCount val="10"/>
                <pt idx="0">
                  <v>1525000</v>
                </pt>
                <pt idx="1">
                  <v>650000</v>
                </pt>
                <pt idx="2">
                  <v>200000</v>
                </pt>
                <pt idx="3">
                  <v>0</v>
                </pt>
                <pt idx="4">
                  <v>0</v>
                </pt>
                <pt idx="5">
                  <v>80000</v>
                </pt>
                <pt idx="6">
                  <v>150000</v>
                </pt>
                <pt idx="7">
                  <v>60000</v>
                </pt>
                <pt idx="8">
                  <v>40000</v>
                </pt>
                <pt idx="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"/>
        <axId val="100"/>
      </barChart>
      <catAx>
        <axId val="10"/>
        <scaling>
          <orientation val="minMax"/>
        </scaling>
        <delete val="1"/>
        <axPos val="l"/>
        <numFmt formatCode="General" sourceLinked="1"/>
        <majorTickMark val="none"/>
        <minorTickMark val="none"/>
        <tickLblPos val="nextTo"/>
        <crossAx val="100"/>
        <crosses val="autoZero"/>
        <auto val="1"/>
        <lblAlgn val="ctr"/>
        <lblOffset val="100"/>
        <noMultiLvlLbl val="1"/>
      </catAx>
      <valAx>
        <axId val="100"/>
        <scaling>
          <orientation val="minMax"/>
        </scaling>
        <delete val="1"/>
        <axPos val="b"/>
        <majorGridlines/>
        <numFmt formatCode="#,##0.00" sourceLinked="1"/>
        <majorTickMark val="none"/>
        <minorTickMark val="none"/>
        <tickLblPos val="nextTo"/>
        <crossAx val="1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/>
              <a:t>Income by Source</a:t>
            </a:r>
          </a:p>
        </rich>
      </tx>
      <overlay val="1"/>
    </title>
    <plotArea>
      <layout/>
      <pieChart>
        <varyColors val="1"/>
        <ser>
          <idx val="0"/>
          <order val="0"/>
          <tx>
            <strRef>
              <f>Dashboard!$J$44</f>
              <strCache>
                <ptCount val="1"/>
                <pt idx="0">
                  <v>Amount</v>
                </pt>
              </strCache>
            </strRef>
          </tx>
          <spPr>
            <a:ln>
              <a:prstDash val="solid"/>
            </a:ln>
          </spPr>
          <cat>
            <strRef>
              <f>Dashboard!$I$45:$I$48</f>
              <strCache>
                <ptCount val="4"/>
                <pt idx="0">
                  <v>Investor Capital</v>
                </pt>
                <pt idx="1">
                  <v>Partner Contribution</v>
                </pt>
                <pt idx="2">
                  <v>Loan Received</v>
                </pt>
                <pt idx="3">
                  <v>Sales</v>
                </pt>
              </strCache>
            </strRef>
          </cat>
          <val>
            <numRef>
              <f>Dashboard!$J$45:$J$48</f>
              <numCache>
                <formatCode>#,##0.00</formatCode>
                <ptCount val="4"/>
                <pt idx="0">
                  <v>2000000</v>
                </pt>
                <pt idx="1">
                  <v>800000</v>
                </pt>
                <pt idx="2">
                  <v>1000000</v>
                </pt>
                <pt idx="3">
                  <v>4000000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1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128" headerRowCount="1">
  <autoFilter ref="A60:C128"/>
  <tableColumns count="3">
    <tableColumn id="1" name="Main Category"/>
    <tableColumn id="2" name="Sub-Category"/>
    <tableColumn id="3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M128"/>
  <sheetViews>
    <sheetView tabSelected="1" workbookViewId="0">
      <selection activeCell="G16" sqref="G16"/>
    </sheetView>
  </sheetViews>
  <sheetFormatPr baseColWidth="10" defaultColWidth="8.83203125" defaultRowHeight="15"/>
  <cols>
    <col width="22" customWidth="1" min="1" max="1"/>
    <col width="18" customWidth="1" min="2" max="3"/>
    <col width="22" customWidth="1" min="4" max="4"/>
    <col width="16.33203125" bestFit="1" customWidth="1" min="5" max="5"/>
    <col width="22" customWidth="1" min="6" max="6"/>
    <col width="16" customWidth="1" min="7" max="7"/>
    <col width="22" customWidth="1" min="9" max="9"/>
    <col width="16" customWidth="1" min="10" max="10"/>
    <col width="14" customWidth="1" min="12" max="12"/>
    <col width="16" customWidth="1" min="13" max="13"/>
  </cols>
  <sheetData>
    <row r="1" ht="19" customHeight="1">
      <c r="A1" s="8" t="inlineStr">
        <is>
          <t>Site Expense Dashboard</t>
        </is>
      </c>
    </row>
    <row r="3">
      <c r="A3" s="9" t="inlineStr">
        <is>
          <t>Current Cash Balance</t>
        </is>
      </c>
      <c r="C3" s="12" t="inlineStr">
        <is>
          <t>YTD Total Receipts</t>
        </is>
      </c>
      <c r="E3" s="13" t="inlineStr">
        <is>
          <t>YTD Total Payments</t>
        </is>
      </c>
      <c r="G3" s="9" t="inlineStr">
        <is>
          <t>Net Position (YTD)</t>
        </is>
      </c>
    </row>
    <row r="4" ht="17" customHeight="1">
      <c r="A4" s="10">
        <f>'Dec2026'!B106</f>
        <v/>
      </c>
      <c r="C4" s="10">
        <f>SUM(B45:B56)</f>
        <v/>
      </c>
      <c r="E4" s="10">
        <f>SUM(C45:C56)</f>
        <v/>
      </c>
      <c r="G4" s="10">
        <f>C4-E4</f>
        <v/>
      </c>
    </row>
    <row r="44">
      <c r="A44" s="4" t="inlineStr">
        <is>
          <t>Month</t>
        </is>
      </c>
      <c r="B44" s="2" t="inlineStr">
        <is>
          <t>Receipts</t>
        </is>
      </c>
      <c r="C44" s="3" t="inlineStr">
        <is>
          <t>Payments</t>
        </is>
      </c>
      <c r="D44" s="4" t="inlineStr">
        <is>
          <t>Closing Balance</t>
        </is>
      </c>
      <c r="F44" s="3" t="inlineStr">
        <is>
          <t>Main Category</t>
        </is>
      </c>
      <c r="G44" s="3" t="inlineStr">
        <is>
          <t>Amount</t>
        </is>
      </c>
      <c r="I44" s="2" t="inlineStr">
        <is>
          <t>Income Category</t>
        </is>
      </c>
      <c r="J44" s="2" t="inlineStr">
        <is>
          <t>Amount</t>
        </is>
      </c>
      <c r="L44" s="4" t="inlineStr">
        <is>
          <t>Payment Mode</t>
        </is>
      </c>
      <c r="M44" s="4" t="inlineStr">
        <is>
          <t>Amount</t>
        </is>
      </c>
    </row>
    <row r="45">
      <c r="A45" t="inlineStr">
        <is>
          <t>Jan2026</t>
        </is>
      </c>
      <c r="B45" s="11">
        <f>'Jan2026'!B104</f>
        <v/>
      </c>
      <c r="C45" s="11">
        <f>'Jan2026'!B105</f>
        <v/>
      </c>
      <c r="D45" s="11">
        <f>'Jan2026'!B106</f>
        <v/>
      </c>
      <c r="F45" t="inlineStr">
        <is>
          <t>Land &amp; Legal</t>
        </is>
      </c>
      <c r="G45" s="11">
        <f>SUMIFS('Jan2026'!K3:K100,'Jan2026'!L3:L100,$F45)+SUMIFS('Feb2026'!K3:K100,'Feb2026'!L3:L100,$F45)+SUMIFS('Mar2026'!K3:K100,'Mar2026'!L3:L100,$F45)+SUMIFS('Apr2026'!K3:K100,'Apr2026'!L3:L100,$F45)+SUMIFS('May2026'!K3:K100,'May2026'!L3:L100,$F45)+SUMIFS('Jun2026'!K3:K100,'Jun2026'!L3:L100,$F45)+SUMIFS('Jul2026'!K3:K100,'Jul2026'!L3:L100,$F45)+SUMIFS('Aug2026'!K3:K100,'Aug2026'!L3:L100,$F45)+SUMIFS('Sep2026'!K3:K100,'Sep2026'!L3:L100,$F45)+SUMIFS('Oct2026'!K3:K100,'Oct2026'!L3:L100,$F45)+SUMIFS('Nov2026'!K3:K100,'Nov2026'!L3:L100,$F45)+SUMIFS('Dec2026'!K3:K100,'Dec2026'!L3:L100,$F45)</f>
        <v/>
      </c>
      <c r="I45" t="inlineStr">
        <is>
          <t>Investor Capital</t>
        </is>
      </c>
      <c r="J45" s="11">
        <f>SUMIFS('Jan2026'!D3:D100,'Jan2026'!E3:E100,$I45)+SUMIFS('Feb2026'!D3:D100,'Feb2026'!E3:E100,$I45)+SUMIFS('Mar2026'!D3:D100,'Mar2026'!E3:E100,$I45)+SUMIFS('Apr2026'!D3:D100,'Apr2026'!E3:E100,$I45)+SUMIFS('May2026'!D3:D100,'May2026'!E3:E100,$I45)+SUMIFS('Jun2026'!D3:D100,'Jun2026'!E3:E100,$I45)+SUMIFS('Jul2026'!D3:D100,'Jul2026'!E3:E100,$I45)+SUMIFS('Aug2026'!D3:D100,'Aug2026'!E3:E100,$I45)+SUMIFS('Sep2026'!D3:D100,'Sep2026'!E3:E100,$I45)+SUMIFS('Oct2026'!D3:D100,'Oct2026'!E3:E100,$I45)+SUMIFS('Nov2026'!D3:D100,'Nov2026'!E3:E100,$I45)+SUMIFS('Dec2026'!D3:D100,'Dec2026'!E3:E100,$I45)</f>
        <v/>
      </c>
      <c r="L45" t="inlineStr">
        <is>
          <t>Bank</t>
        </is>
      </c>
      <c r="M45" s="11">
        <f>SUMIFS('Jan2026'!D3:D100,'Jan2026'!F3:F100,$L45)+SUMIFS('Jan2026'!K3:K100,'Jan2026'!N3:N100,$L45)+SUMIFS('Feb2026'!D3:D100,'Feb2026'!F3:F100,$L45)+SUMIFS('Feb2026'!K3:K100,'Feb2026'!N3:N100,$L45)+SUMIFS('Mar2026'!D3:D100,'Mar2026'!F3:F100,$L45)+SUMIFS('Mar2026'!K3:K100,'Mar2026'!N3:N100,$L45)+SUMIFS('Apr2026'!D3:D100,'Apr2026'!F3:F100,$L45)+SUMIFS('Apr2026'!K3:K100,'Apr2026'!N3:N100,$L45)+SUMIFS('May2026'!D3:D100,'May2026'!F3:F100,$L45)+SUMIFS('May2026'!K3:K100,'May2026'!N3:N100,$L45)+SUMIFS('Jun2026'!D3:D100,'Jun2026'!F3:F100,$L45)+SUMIFS('Jun2026'!K3:K100,'Jun2026'!N3:N100,$L45)+SUMIFS('Jul2026'!D3:D100,'Jul2026'!F3:F100,$L45)+SUMIFS('Jul2026'!K3:K100,'Jul2026'!N3:N100,$L45)+SUMIFS('Aug2026'!D3:D100,'Aug2026'!F3:F100,$L45)+SUMIFS('Aug2026'!K3:K100,'Aug2026'!N3:N100,$L45)+SUMIFS('Sep2026'!D3:D100,'Sep2026'!F3:F100,$L45)+SUMIFS('Sep2026'!K3:K100,'Sep2026'!N3:N100,$L45)+SUMIFS('Oct2026'!D3:D100,'Oct2026'!F3:F100,$L45)+SUMIFS('Oct2026'!K3:K100,'Oct2026'!N3:N100,$L45)+SUMIFS('Nov2026'!D3:D100,'Nov2026'!F3:F100,$L45)+SUMIFS('Nov2026'!K3:K100,'Nov2026'!N3:N100,$L45)+SUMIFS('Dec2026'!D3:D100,'Dec2026'!F3:F100,$L45)+SUMIFS('Dec2026'!K3:K100,'Dec2026'!N3:N100,$L45)</f>
        <v/>
      </c>
    </row>
    <row r="46">
      <c r="A46" t="inlineStr">
        <is>
          <t>Feb2026</t>
        </is>
      </c>
      <c r="B46" s="11">
        <f>'Feb2026'!B104</f>
        <v/>
      </c>
      <c r="C46" s="11">
        <f>'Feb2026'!B105</f>
        <v/>
      </c>
      <c r="D46" s="11">
        <f>'Feb2026'!B106</f>
        <v/>
      </c>
      <c r="F46" t="inlineStr">
        <is>
          <t>Site Development</t>
        </is>
      </c>
      <c r="G46" s="11">
        <f>SUMIFS('Jan2026'!K3:K100,'Jan2026'!L3:L100,$F46)+SUMIFS('Feb2026'!K3:K100,'Feb2026'!L3:L100,$F46)+SUMIFS('Mar2026'!K3:K100,'Mar2026'!L3:L100,$F46)+SUMIFS('Apr2026'!K3:K100,'Apr2026'!L3:L100,$F46)+SUMIFS('May2026'!K3:K100,'May2026'!L3:L100,$F46)+SUMIFS('Jun2026'!K3:K100,'Jun2026'!L3:L100,$F46)+SUMIFS('Jul2026'!K3:K100,'Jul2026'!L3:L100,$F46)+SUMIFS('Aug2026'!K3:K100,'Aug2026'!L3:L100,$F46)+SUMIFS('Sep2026'!K3:K100,'Sep2026'!L3:L100,$F46)+SUMIFS('Oct2026'!K3:K100,'Oct2026'!L3:L100,$F46)+SUMIFS('Nov2026'!K3:K100,'Nov2026'!L3:L100,$F46)+SUMIFS('Dec2026'!K3:K100,'Dec2026'!L3:L100,$F46)</f>
        <v/>
      </c>
      <c r="I46" t="inlineStr">
        <is>
          <t>Partner Contribution</t>
        </is>
      </c>
      <c r="J46" s="11">
        <f>SUMIFS('Jan2026'!D3:D100,'Jan2026'!E3:E100,$I46)+SUMIFS('Feb2026'!D3:D100,'Feb2026'!E3:E100,$I46)+SUMIFS('Mar2026'!D3:D100,'Mar2026'!E3:E100,$I46)+SUMIFS('Apr2026'!D3:D100,'Apr2026'!E3:E100,$I46)+SUMIFS('May2026'!D3:D100,'May2026'!E3:E100,$I46)+SUMIFS('Jun2026'!D3:D100,'Jun2026'!E3:E100,$I46)+SUMIFS('Jul2026'!D3:D100,'Jul2026'!E3:E100,$I46)+SUMIFS('Aug2026'!D3:D100,'Aug2026'!E3:E100,$I46)+SUMIFS('Sep2026'!D3:D100,'Sep2026'!E3:E100,$I46)+SUMIFS('Oct2026'!D3:D100,'Oct2026'!E3:E100,$I46)+SUMIFS('Nov2026'!D3:D100,'Nov2026'!E3:E100,$I46)+SUMIFS('Dec2026'!D3:D100,'Dec2026'!E3:E100,$I46)</f>
        <v/>
      </c>
      <c r="L46" t="inlineStr">
        <is>
          <t>Cash</t>
        </is>
      </c>
      <c r="M46" s="11">
        <f>SUMIFS('Jan2026'!D3:D100,'Jan2026'!F3:F100,$L46)+SUMIFS('Jan2026'!K3:K100,'Jan2026'!N3:N100,$L46)+SUMIFS('Feb2026'!D3:D100,'Feb2026'!F3:F100,$L46)+SUMIFS('Feb2026'!K3:K100,'Feb2026'!N3:N100,$L46)+SUMIFS('Mar2026'!D3:D100,'Mar2026'!F3:F100,$L46)+SUMIFS('Mar2026'!K3:K100,'Mar2026'!N3:N100,$L46)+SUMIFS('Apr2026'!D3:D100,'Apr2026'!F3:F100,$L46)+SUMIFS('Apr2026'!K3:K100,'Apr2026'!N3:N100,$L46)+SUMIFS('May2026'!D3:D100,'May2026'!F3:F100,$L46)+SUMIFS('May2026'!K3:K100,'May2026'!N3:N100,$L46)+SUMIFS('Jun2026'!D3:D100,'Jun2026'!F3:F100,$L46)+SUMIFS('Jun2026'!K3:K100,'Jun2026'!N3:N100,$L46)+SUMIFS('Jul2026'!D3:D100,'Jul2026'!F3:F100,$L46)+SUMIFS('Jul2026'!K3:K100,'Jul2026'!N3:N100,$L46)+SUMIFS('Aug2026'!D3:D100,'Aug2026'!F3:F100,$L46)+SUMIFS('Aug2026'!K3:K100,'Aug2026'!N3:N100,$L46)+SUMIFS('Sep2026'!D3:D100,'Sep2026'!F3:F100,$L46)+SUMIFS('Sep2026'!K3:K100,'Sep2026'!N3:N100,$L46)+SUMIFS('Oct2026'!D3:D100,'Oct2026'!F3:F100,$L46)+SUMIFS('Oct2026'!K3:K100,'Oct2026'!N3:N100,$L46)+SUMIFS('Nov2026'!D3:D100,'Nov2026'!F3:F100,$L46)+SUMIFS('Nov2026'!K3:K100,'Nov2026'!N3:N100,$L46)+SUMIFS('Dec2026'!D3:D100,'Dec2026'!F3:F100,$L46)+SUMIFS('Dec2026'!K3:K100,'Dec2026'!N3:N100,$L46)</f>
        <v/>
      </c>
    </row>
    <row r="47">
      <c r="A47" t="inlineStr">
        <is>
          <t>Mar2026</t>
        </is>
      </c>
      <c r="B47" s="11">
        <f>'Mar2026'!B104</f>
        <v/>
      </c>
      <c r="C47" s="11">
        <f>'Mar2026'!B105</f>
        <v/>
      </c>
      <c r="D47" s="11">
        <f>'Mar2026'!B106</f>
        <v/>
      </c>
      <c r="F47" t="inlineStr">
        <is>
          <t>Utilities</t>
        </is>
      </c>
      <c r="G47" s="11">
        <f>SUMIFS('Jan2026'!K3:K100,'Jan2026'!L3:L100,$F47)+SUMIFS('Feb2026'!K3:K100,'Feb2026'!L3:L100,$F47)+SUMIFS('Mar2026'!K3:K100,'Mar2026'!L3:L100,$F47)+SUMIFS('Apr2026'!K3:K100,'Apr2026'!L3:L100,$F47)+SUMIFS('May2026'!K3:K100,'May2026'!L3:L100,$F47)+SUMIFS('Jun2026'!K3:K100,'Jun2026'!L3:L100,$F47)+SUMIFS('Jul2026'!K3:K100,'Jul2026'!L3:L100,$F47)+SUMIFS('Aug2026'!K3:K100,'Aug2026'!L3:L100,$F47)+SUMIFS('Sep2026'!K3:K100,'Sep2026'!L3:L100,$F47)+SUMIFS('Oct2026'!K3:K100,'Oct2026'!L3:L100,$F47)+SUMIFS('Nov2026'!K3:K100,'Nov2026'!L3:L100,$F47)+SUMIFS('Dec2026'!K3:K100,'Dec2026'!L3:L100,$F47)</f>
        <v/>
      </c>
      <c r="I47" t="inlineStr">
        <is>
          <t>Loan Received</t>
        </is>
      </c>
      <c r="J47" s="11">
        <f>SUMIFS('Jan2026'!D3:D100,'Jan2026'!E3:E100,$I47)+SUMIFS('Feb2026'!D3:D100,'Feb2026'!E3:E100,$I47)+SUMIFS('Mar2026'!D3:D100,'Mar2026'!E3:E100,$I47)+SUMIFS('Apr2026'!D3:D100,'Apr2026'!E3:E100,$I47)+SUMIFS('May2026'!D3:D100,'May2026'!E3:E100,$I47)+SUMIFS('Jun2026'!D3:D100,'Jun2026'!E3:E100,$I47)+SUMIFS('Jul2026'!D3:D100,'Jul2026'!E3:E100,$I47)+SUMIFS('Aug2026'!D3:D100,'Aug2026'!E3:E100,$I47)+SUMIFS('Sep2026'!D3:D100,'Sep2026'!E3:E100,$I47)+SUMIFS('Oct2026'!D3:D100,'Oct2026'!E3:E100,$I47)+SUMIFS('Nov2026'!D3:D100,'Nov2026'!E3:E100,$I47)+SUMIFS('Dec2026'!D3:D100,'Dec2026'!E3:E100,$I47)</f>
        <v/>
      </c>
    </row>
    <row r="48">
      <c r="A48" t="inlineStr">
        <is>
          <t>Apr2026</t>
        </is>
      </c>
      <c r="B48" s="11">
        <f>'Apr2026'!B104</f>
        <v/>
      </c>
      <c r="C48" s="11">
        <f>'Apr2026'!B105</f>
        <v/>
      </c>
      <c r="D48" s="11">
        <f>'Apr2026'!B106</f>
        <v/>
      </c>
      <c r="F48" t="inlineStr">
        <is>
          <t>Landscaping</t>
        </is>
      </c>
      <c r="G48" s="11">
        <f>SUMIFS('Jan2026'!K3:K100,'Jan2026'!L3:L100,$F48)+SUMIFS('Feb2026'!K3:K100,'Feb2026'!L3:L100,$F48)+SUMIFS('Mar2026'!K3:K100,'Mar2026'!L3:L100,$F48)+SUMIFS('Apr2026'!K3:K100,'Apr2026'!L3:L100,$F48)+SUMIFS('May2026'!K3:K100,'May2026'!L3:L100,$F48)+SUMIFS('Jun2026'!K3:K100,'Jun2026'!L3:L100,$F48)+SUMIFS('Jul2026'!K3:K100,'Jul2026'!L3:L100,$F48)+SUMIFS('Aug2026'!K3:K100,'Aug2026'!L3:L100,$F48)+SUMIFS('Sep2026'!K3:K100,'Sep2026'!L3:L100,$F48)+SUMIFS('Oct2026'!K3:K100,'Oct2026'!L3:L100,$F48)+SUMIFS('Nov2026'!K3:K100,'Nov2026'!L3:L100,$F48)+SUMIFS('Dec2026'!K3:K100,'Dec2026'!L3:L100,$F48)</f>
        <v/>
      </c>
      <c r="I48" t="inlineStr">
        <is>
          <t>Sales</t>
        </is>
      </c>
      <c r="J48" s="11">
        <f>SUMIFS('Jan2026'!D3:D100,'Jan2026'!E3:E100,$I48)+SUMIFS('Feb2026'!D3:D100,'Feb2026'!E3:E100,$I48)+SUMIFS('Mar2026'!D3:D100,'Mar2026'!E3:E100,$I48)+SUMIFS('Apr2026'!D3:D100,'Apr2026'!E3:E100,$I48)+SUMIFS('May2026'!D3:D100,'May2026'!E3:E100,$I48)+SUMIFS('Jun2026'!D3:D100,'Jun2026'!E3:E100,$I48)+SUMIFS('Jul2026'!D3:D100,'Jul2026'!E3:E100,$I48)+SUMIFS('Aug2026'!D3:D100,'Aug2026'!E3:E100,$I48)+SUMIFS('Sep2026'!D3:D100,'Sep2026'!E3:E100,$I48)+SUMIFS('Oct2026'!D3:D100,'Oct2026'!E3:E100,$I48)+SUMIFS('Nov2026'!D3:D100,'Nov2026'!E3:E100,$I48)+SUMIFS('Dec2026'!D3:D100,'Dec2026'!E3:E100,$I48)</f>
        <v/>
      </c>
    </row>
    <row r="49">
      <c r="A49" t="inlineStr">
        <is>
          <t>May2026</t>
        </is>
      </c>
      <c r="B49" s="11">
        <f>'May2026'!B104</f>
        <v/>
      </c>
      <c r="C49" s="11">
        <f>'May2026'!B105</f>
        <v/>
      </c>
      <c r="D49" s="11">
        <f>'May2026'!B106</f>
        <v/>
      </c>
      <c r="F49" t="inlineStr">
        <is>
          <t>Buildings &amp; Amenities</t>
        </is>
      </c>
      <c r="G49" s="11">
        <f>SUMIFS('Jan2026'!K3:K100,'Jan2026'!L3:L100,$F49)+SUMIFS('Feb2026'!K3:K100,'Feb2026'!L3:L100,$F49)+SUMIFS('Mar2026'!K3:K100,'Mar2026'!L3:L100,$F49)+SUMIFS('Apr2026'!K3:K100,'Apr2026'!L3:L100,$F49)+SUMIFS('May2026'!K3:K100,'May2026'!L3:L100,$F49)+SUMIFS('Jun2026'!K3:K100,'Jun2026'!L3:L100,$F49)+SUMIFS('Jul2026'!K3:K100,'Jul2026'!L3:L100,$F49)+SUMIFS('Aug2026'!K3:K100,'Aug2026'!L3:L100,$F49)+SUMIFS('Sep2026'!K3:K100,'Sep2026'!L3:L100,$F49)+SUMIFS('Oct2026'!K3:K100,'Oct2026'!L3:L100,$F49)+SUMIFS('Nov2026'!K3:K100,'Nov2026'!L3:L100,$F49)+SUMIFS('Dec2026'!K3:K100,'Dec2026'!L3:L100,$F49)</f>
        <v/>
      </c>
    </row>
    <row r="50">
      <c r="A50" t="inlineStr">
        <is>
          <t>Jun2026</t>
        </is>
      </c>
      <c r="B50" s="11">
        <f>'Jun2026'!B104</f>
        <v/>
      </c>
      <c r="C50" s="11">
        <f>'Jun2026'!B105</f>
        <v/>
      </c>
      <c r="D50" s="11">
        <f>'Jun2026'!B106</f>
        <v/>
      </c>
      <c r="F50" t="inlineStr">
        <is>
          <t>Labour &amp; Contractors</t>
        </is>
      </c>
      <c r="G50" s="11">
        <f>SUMIFS('Jan2026'!K3:K100,'Jan2026'!L3:L100,$F50)+SUMIFS('Feb2026'!K3:K100,'Feb2026'!L3:L100,$F50)+SUMIFS('Mar2026'!K3:K100,'Mar2026'!L3:L100,$F50)+SUMIFS('Apr2026'!K3:K100,'Apr2026'!L3:L100,$F50)+SUMIFS('May2026'!K3:K100,'May2026'!L3:L100,$F50)+SUMIFS('Jun2026'!K3:K100,'Jun2026'!L3:L100,$F50)+SUMIFS('Jul2026'!K3:K100,'Jul2026'!L3:L100,$F50)+SUMIFS('Aug2026'!K3:K100,'Aug2026'!L3:L100,$F50)+SUMIFS('Sep2026'!K3:K100,'Sep2026'!L3:L100,$F50)+SUMIFS('Oct2026'!K3:K100,'Oct2026'!L3:L100,$F50)+SUMIFS('Nov2026'!K3:K100,'Nov2026'!L3:L100,$F50)+SUMIFS('Dec2026'!K3:K100,'Dec2026'!L3:L100,$F50)</f>
        <v/>
      </c>
    </row>
    <row r="51">
      <c r="A51" t="inlineStr">
        <is>
          <t>Jul2026</t>
        </is>
      </c>
      <c r="B51" s="11">
        <f>'Jul2026'!B104</f>
        <v/>
      </c>
      <c r="C51" s="11">
        <f>'Jul2026'!B105</f>
        <v/>
      </c>
      <c r="D51" s="11">
        <f>'Jul2026'!B106</f>
        <v/>
      </c>
      <c r="F51" t="inlineStr">
        <is>
          <t>Materials</t>
        </is>
      </c>
      <c r="G51" s="11">
        <f>SUMIFS('Jan2026'!K3:K100,'Jan2026'!L3:L100,$F51)+SUMIFS('Feb2026'!K3:K100,'Feb2026'!L3:L100,$F51)+SUMIFS('Mar2026'!K3:K100,'Mar2026'!L3:L100,$F51)+SUMIFS('Apr2026'!K3:K100,'Apr2026'!L3:L100,$F51)+SUMIFS('May2026'!K3:K100,'May2026'!L3:L100,$F51)+SUMIFS('Jun2026'!K3:K100,'Jun2026'!L3:L100,$F51)+SUMIFS('Jul2026'!K3:K100,'Jul2026'!L3:L100,$F51)+SUMIFS('Aug2026'!K3:K100,'Aug2026'!L3:L100,$F51)+SUMIFS('Sep2026'!K3:K100,'Sep2026'!L3:L100,$F51)+SUMIFS('Oct2026'!K3:K100,'Oct2026'!L3:L100,$F51)+SUMIFS('Nov2026'!K3:K100,'Nov2026'!L3:L100,$F51)+SUMIFS('Dec2026'!K3:K100,'Dec2026'!L3:L100,$F51)</f>
        <v/>
      </c>
    </row>
    <row r="52">
      <c r="A52" t="inlineStr">
        <is>
          <t>Aug2026</t>
        </is>
      </c>
      <c r="B52" s="11">
        <f>'Aug2026'!B104</f>
        <v/>
      </c>
      <c r="C52" s="11">
        <f>'Aug2026'!B105</f>
        <v/>
      </c>
      <c r="D52" s="11">
        <f>'Aug2026'!B106</f>
        <v/>
      </c>
      <c r="F52" t="inlineStr">
        <is>
          <t>Operations</t>
        </is>
      </c>
      <c r="G52" s="11">
        <f>SUMIFS('Jan2026'!K3:K100,'Jan2026'!L3:L100,$F52)+SUMIFS('Feb2026'!K3:K100,'Feb2026'!L3:L100,$F52)+SUMIFS('Mar2026'!K3:K100,'Mar2026'!L3:L100,$F52)+SUMIFS('Apr2026'!K3:K100,'Apr2026'!L3:L100,$F52)+SUMIFS('May2026'!K3:K100,'May2026'!L3:L100,$F52)+SUMIFS('Jun2026'!K3:K100,'Jun2026'!L3:L100,$F52)+SUMIFS('Jul2026'!K3:K100,'Jul2026'!L3:L100,$F52)+SUMIFS('Aug2026'!K3:K100,'Aug2026'!L3:L100,$F52)+SUMIFS('Sep2026'!K3:K100,'Sep2026'!L3:L100,$F52)+SUMIFS('Oct2026'!K3:K100,'Oct2026'!L3:L100,$F52)+SUMIFS('Nov2026'!K3:K100,'Nov2026'!L3:L100,$F52)+SUMIFS('Dec2026'!K3:K100,'Dec2026'!L3:L100,$F52)</f>
        <v/>
      </c>
    </row>
    <row r="53">
      <c r="A53" t="inlineStr">
        <is>
          <t>Sep2026</t>
        </is>
      </c>
      <c r="B53" s="11">
        <f>'Sep2026'!B104</f>
        <v/>
      </c>
      <c r="C53" s="11">
        <f>'Sep2026'!B105</f>
        <v/>
      </c>
      <c r="D53" s="11">
        <f>'Sep2026'!B106</f>
        <v/>
      </c>
      <c r="F53" t="inlineStr">
        <is>
          <t>Marketing &amp; Sales</t>
        </is>
      </c>
      <c r="G53" s="11">
        <f>SUMIFS('Jan2026'!K3:K100,'Jan2026'!L3:L100,$F53)+SUMIFS('Feb2026'!K3:K100,'Feb2026'!L3:L100,$F53)+SUMIFS('Mar2026'!K3:K100,'Mar2026'!L3:L100,$F53)+SUMIFS('Apr2026'!K3:K100,'Apr2026'!L3:L100,$F53)+SUMIFS('May2026'!K3:K100,'May2026'!L3:L100,$F53)+SUMIFS('Jun2026'!K3:K100,'Jun2026'!L3:L100,$F53)+SUMIFS('Jul2026'!K3:K100,'Jul2026'!L3:L100,$F53)+SUMIFS('Aug2026'!K3:K100,'Aug2026'!L3:L100,$F53)+SUMIFS('Sep2026'!K3:K100,'Sep2026'!L3:L100,$F53)+SUMIFS('Oct2026'!K3:K100,'Oct2026'!L3:L100,$F53)+SUMIFS('Nov2026'!K3:K100,'Nov2026'!L3:L100,$F53)+SUMIFS('Dec2026'!K3:K100,'Dec2026'!L3:L100,$F53)</f>
        <v/>
      </c>
    </row>
    <row r="54">
      <c r="A54" t="inlineStr">
        <is>
          <t>Oct2026</t>
        </is>
      </c>
      <c r="B54" s="11">
        <f>'Oct2026'!B104</f>
        <v/>
      </c>
      <c r="C54" s="11">
        <f>'Oct2026'!B105</f>
        <v/>
      </c>
      <c r="D54" s="11">
        <f>'Oct2026'!B106</f>
        <v/>
      </c>
      <c r="F54" t="inlineStr">
        <is>
          <t>Miscellaneous</t>
        </is>
      </c>
      <c r="G54" s="11">
        <f>SUMIFS('Jan2026'!K3:K100,'Jan2026'!L3:L100,$F54)+SUMIFS('Feb2026'!K3:K100,'Feb2026'!L3:L100,$F54)+SUMIFS('Mar2026'!K3:K100,'Mar2026'!L3:L100,$F54)+SUMIFS('Apr2026'!K3:K100,'Apr2026'!L3:L100,$F54)+SUMIFS('May2026'!K3:K100,'May2026'!L3:L100,$F54)+SUMIFS('Jun2026'!K3:K100,'Jun2026'!L3:L100,$F54)+SUMIFS('Jul2026'!K3:K100,'Jul2026'!L3:L100,$F54)+SUMIFS('Aug2026'!K3:K100,'Aug2026'!L3:L100,$F54)+SUMIFS('Sep2026'!K3:K100,'Sep2026'!L3:L100,$F54)+SUMIFS('Oct2026'!K3:K100,'Oct2026'!L3:L100,$F54)+SUMIFS('Nov2026'!K3:K100,'Nov2026'!L3:L100,$F54)+SUMIFS('Dec2026'!K3:K100,'Dec2026'!L3:L100,$F54)</f>
        <v/>
      </c>
    </row>
    <row r="55">
      <c r="A55" t="inlineStr">
        <is>
          <t>Nov2026</t>
        </is>
      </c>
      <c r="B55" s="11">
        <f>'Nov2026'!B104</f>
        <v/>
      </c>
      <c r="C55" s="11">
        <f>'Nov2026'!B105</f>
        <v/>
      </c>
      <c r="D55" s="11">
        <f>'Nov2026'!B106</f>
        <v/>
      </c>
    </row>
    <row r="56">
      <c r="A56" t="inlineStr">
        <is>
          <t>Dec2026</t>
        </is>
      </c>
      <c r="B56" s="11">
        <f>'Dec2026'!B104</f>
        <v/>
      </c>
      <c r="C56" s="11">
        <f>'Dec2026'!B105</f>
        <v/>
      </c>
      <c r="D56" s="11">
        <f>'Dec2026'!B106</f>
        <v/>
      </c>
    </row>
    <row r="60">
      <c r="A60" s="3" t="inlineStr">
        <is>
          <t>Main Category</t>
        </is>
      </c>
      <c r="B60" s="3" t="inlineStr">
        <is>
          <t>Sub-Category</t>
        </is>
      </c>
      <c r="C60" s="3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11">
        <f>SUMIFS('Jan2026'!K3:K100,'Jan2026'!L3:L100,$A61,'Jan2026'!M3:M100,$B61)+SUMIFS('Feb2026'!K3:K100,'Feb2026'!L3:L100,$A61,'Feb2026'!M3:M100,$B61)+SUMIFS('Mar2026'!K3:K100,'Mar2026'!L3:L100,$A61,'Mar2026'!M3:M100,$B61)+SUMIFS('Apr2026'!K3:K100,'Apr2026'!L3:L100,$A61,'Apr2026'!M3:M100,$B61)+SUMIFS('May2026'!K3:K100,'May2026'!L3:L100,$A61,'May2026'!M3:M100,$B61)+SUMIFS('Jun2026'!K3:K100,'Jun2026'!L3:L100,$A61,'Jun2026'!M3:M100,$B61)+SUMIFS('Jul2026'!K3:K100,'Jul2026'!L3:L100,$A61,'Jul2026'!M3:M100,$B61)+SUMIFS('Aug2026'!K3:K100,'Aug2026'!L3:L100,$A61,'Aug2026'!M3:M100,$B61)+SUMIFS('Sep2026'!K3:K100,'Sep2026'!L3:L100,$A61,'Sep2026'!M3:M100,$B61)+SUMIFS('Oct2026'!K3:K100,'Oct2026'!L3:L100,$A61,'Oct2026'!M3:M100,$B61)+SUMIFS('Nov2026'!K3:K100,'Nov2026'!L3:L100,$A61,'Nov2026'!M3:M100,$B61)+SUMIFS('Dec2026'!K3:K100,'Dec2026'!L3:L100,$A61,'Dec2026'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11">
        <f>SUMIFS('Jan2026'!K3:K100,'Jan2026'!L3:L100,$A62,'Jan2026'!M3:M100,$B62)+SUMIFS('Feb2026'!K3:K100,'Feb2026'!L3:L100,$A62,'Feb2026'!M3:M100,$B62)+SUMIFS('Mar2026'!K3:K100,'Mar2026'!L3:L100,$A62,'Mar2026'!M3:M100,$B62)+SUMIFS('Apr2026'!K3:K100,'Apr2026'!L3:L100,$A62,'Apr2026'!M3:M100,$B62)+SUMIFS('May2026'!K3:K100,'May2026'!L3:L100,$A62,'May2026'!M3:M100,$B62)+SUMIFS('Jun2026'!K3:K100,'Jun2026'!L3:L100,$A62,'Jun2026'!M3:M100,$B62)+SUMIFS('Jul2026'!K3:K100,'Jul2026'!L3:L100,$A62,'Jul2026'!M3:M100,$B62)+SUMIFS('Aug2026'!K3:K100,'Aug2026'!L3:L100,$A62,'Aug2026'!M3:M100,$B62)+SUMIFS('Sep2026'!K3:K100,'Sep2026'!L3:L100,$A62,'Sep2026'!M3:M100,$B62)+SUMIFS('Oct2026'!K3:K100,'Oct2026'!L3:L100,$A62,'Oct2026'!M3:M100,$B62)+SUMIFS('Nov2026'!K3:K100,'Nov2026'!L3:L100,$A62,'Nov2026'!M3:M100,$B62)+SUMIFS('Dec2026'!K3:K100,'Dec2026'!L3:L100,$A62,'Dec2026'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11">
        <f>SUMIFS('Jan2026'!K3:K100,'Jan2026'!L3:L100,$A63,'Jan2026'!M3:M100,$B63)+SUMIFS('Feb2026'!K3:K100,'Feb2026'!L3:L100,$A63,'Feb2026'!M3:M100,$B63)+SUMIFS('Mar2026'!K3:K100,'Mar2026'!L3:L100,$A63,'Mar2026'!M3:M100,$B63)+SUMIFS('Apr2026'!K3:K100,'Apr2026'!L3:L100,$A63,'Apr2026'!M3:M100,$B63)+SUMIFS('May2026'!K3:K100,'May2026'!L3:L100,$A63,'May2026'!M3:M100,$B63)+SUMIFS('Jun2026'!K3:K100,'Jun2026'!L3:L100,$A63,'Jun2026'!M3:M100,$B63)+SUMIFS('Jul2026'!K3:K100,'Jul2026'!L3:L100,$A63,'Jul2026'!M3:M100,$B63)+SUMIFS('Aug2026'!K3:K100,'Aug2026'!L3:L100,$A63,'Aug2026'!M3:M100,$B63)+SUMIFS('Sep2026'!K3:K100,'Sep2026'!L3:L100,$A63,'Sep2026'!M3:M100,$B63)+SUMIFS('Oct2026'!K3:K100,'Oct2026'!L3:L100,$A63,'Oct2026'!M3:M100,$B63)+SUMIFS('Nov2026'!K3:K100,'Nov2026'!L3:L100,$A63,'Nov2026'!M3:M100,$B63)+SUMIFS('Dec2026'!K3:K100,'Dec2026'!L3:L100,$A63,'Dec2026'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11">
        <f>SUMIFS('Jan2026'!K3:K100,'Jan2026'!L3:L100,$A64,'Jan2026'!M3:M100,$B64)+SUMIFS('Feb2026'!K3:K100,'Feb2026'!L3:L100,$A64,'Feb2026'!M3:M100,$B64)+SUMIFS('Mar2026'!K3:K100,'Mar2026'!L3:L100,$A64,'Mar2026'!M3:M100,$B64)+SUMIFS('Apr2026'!K3:K100,'Apr2026'!L3:L100,$A64,'Apr2026'!M3:M100,$B64)+SUMIFS('May2026'!K3:K100,'May2026'!L3:L100,$A64,'May2026'!M3:M100,$B64)+SUMIFS('Jun2026'!K3:K100,'Jun2026'!L3:L100,$A64,'Jun2026'!M3:M100,$B64)+SUMIFS('Jul2026'!K3:K100,'Jul2026'!L3:L100,$A64,'Jul2026'!M3:M100,$B64)+SUMIFS('Aug2026'!K3:K100,'Aug2026'!L3:L100,$A64,'Aug2026'!M3:M100,$B64)+SUMIFS('Sep2026'!K3:K100,'Sep2026'!L3:L100,$A64,'Sep2026'!M3:M100,$B64)+SUMIFS('Oct2026'!K3:K100,'Oct2026'!L3:L100,$A64,'Oct2026'!M3:M100,$B64)+SUMIFS('Nov2026'!K3:K100,'Nov2026'!L3:L100,$A64,'Nov2026'!M3:M100,$B64)+SUMIFS('Dec2026'!K3:K100,'Dec2026'!L3:L100,$A64,'Dec2026'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11">
        <f>SUMIFS('Jan2026'!K3:K100,'Jan2026'!L3:L100,$A65,'Jan2026'!M3:M100,$B65)+SUMIFS('Feb2026'!K3:K100,'Feb2026'!L3:L100,$A65,'Feb2026'!M3:M100,$B65)+SUMIFS('Mar2026'!K3:K100,'Mar2026'!L3:L100,$A65,'Mar2026'!M3:M100,$B65)+SUMIFS('Apr2026'!K3:K100,'Apr2026'!L3:L100,$A65,'Apr2026'!M3:M100,$B65)+SUMIFS('May2026'!K3:K100,'May2026'!L3:L100,$A65,'May2026'!M3:M100,$B65)+SUMIFS('Jun2026'!K3:K100,'Jun2026'!L3:L100,$A65,'Jun2026'!M3:M100,$B65)+SUMIFS('Jul2026'!K3:K100,'Jul2026'!L3:L100,$A65,'Jul2026'!M3:M100,$B65)+SUMIFS('Aug2026'!K3:K100,'Aug2026'!L3:L100,$A65,'Aug2026'!M3:M100,$B65)+SUMIFS('Sep2026'!K3:K100,'Sep2026'!L3:L100,$A65,'Sep2026'!M3:M100,$B65)+SUMIFS('Oct2026'!K3:K100,'Oct2026'!L3:L100,$A65,'Oct2026'!M3:M100,$B65)+SUMIFS('Nov2026'!K3:K100,'Nov2026'!L3:L100,$A65,'Nov2026'!M3:M100,$B65)+SUMIFS('Dec2026'!K3:K100,'Dec2026'!L3:L100,$A65,'Dec2026'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11">
        <f>SUMIFS('Jan2026'!K3:K100,'Jan2026'!L3:L100,$A66,'Jan2026'!M3:M100,$B66)+SUMIFS('Feb2026'!K3:K100,'Feb2026'!L3:L100,$A66,'Feb2026'!M3:M100,$B66)+SUMIFS('Mar2026'!K3:K100,'Mar2026'!L3:L100,$A66,'Mar2026'!M3:M100,$B66)+SUMIFS('Apr2026'!K3:K100,'Apr2026'!L3:L100,$A66,'Apr2026'!M3:M100,$B66)+SUMIFS('May2026'!K3:K100,'May2026'!L3:L100,$A66,'May2026'!M3:M100,$B66)+SUMIFS('Jun2026'!K3:K100,'Jun2026'!L3:L100,$A66,'Jun2026'!M3:M100,$B66)+SUMIFS('Jul2026'!K3:K100,'Jul2026'!L3:L100,$A66,'Jul2026'!M3:M100,$B66)+SUMIFS('Aug2026'!K3:K100,'Aug2026'!L3:L100,$A66,'Aug2026'!M3:M100,$B66)+SUMIFS('Sep2026'!K3:K100,'Sep2026'!L3:L100,$A66,'Sep2026'!M3:M100,$B66)+SUMIFS('Oct2026'!K3:K100,'Oct2026'!L3:L100,$A66,'Oct2026'!M3:M100,$B66)+SUMIFS('Nov2026'!K3:K100,'Nov2026'!L3:L100,$A66,'Nov2026'!M3:M100,$B66)+SUMIFS('Dec2026'!K3:K100,'Dec2026'!L3:L100,$A66,'Dec2026'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11">
        <f>SUMIFS('Jan2026'!K3:K100,'Jan2026'!L3:L100,$A67,'Jan2026'!M3:M100,$B67)+SUMIFS('Feb2026'!K3:K100,'Feb2026'!L3:L100,$A67,'Feb2026'!M3:M100,$B67)+SUMIFS('Mar2026'!K3:K100,'Mar2026'!L3:L100,$A67,'Mar2026'!M3:M100,$B67)+SUMIFS('Apr2026'!K3:K100,'Apr2026'!L3:L100,$A67,'Apr2026'!M3:M100,$B67)+SUMIFS('May2026'!K3:K100,'May2026'!L3:L100,$A67,'May2026'!M3:M100,$B67)+SUMIFS('Jun2026'!K3:K100,'Jun2026'!L3:L100,$A67,'Jun2026'!M3:M100,$B67)+SUMIFS('Jul2026'!K3:K100,'Jul2026'!L3:L100,$A67,'Jul2026'!M3:M100,$B67)+SUMIFS('Aug2026'!K3:K100,'Aug2026'!L3:L100,$A67,'Aug2026'!M3:M100,$B67)+SUMIFS('Sep2026'!K3:K100,'Sep2026'!L3:L100,$A67,'Sep2026'!M3:M100,$B67)+SUMIFS('Oct2026'!K3:K100,'Oct2026'!L3:L100,$A67,'Oct2026'!M3:M100,$B67)+SUMIFS('Nov2026'!K3:K100,'Nov2026'!L3:L100,$A67,'Nov2026'!M3:M100,$B67)+SUMIFS('Dec2026'!K3:K100,'Dec2026'!L3:L100,$A67,'Dec2026'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11">
        <f>SUMIFS('Jan2026'!K3:K100,'Jan2026'!L3:L100,$A68,'Jan2026'!M3:M100,$B68)+SUMIFS('Feb2026'!K3:K100,'Feb2026'!L3:L100,$A68,'Feb2026'!M3:M100,$B68)+SUMIFS('Mar2026'!K3:K100,'Mar2026'!L3:L100,$A68,'Mar2026'!M3:M100,$B68)+SUMIFS('Apr2026'!K3:K100,'Apr2026'!L3:L100,$A68,'Apr2026'!M3:M100,$B68)+SUMIFS('May2026'!K3:K100,'May2026'!L3:L100,$A68,'May2026'!M3:M100,$B68)+SUMIFS('Jun2026'!K3:K100,'Jun2026'!L3:L100,$A68,'Jun2026'!M3:M100,$B68)+SUMIFS('Jul2026'!K3:K100,'Jul2026'!L3:L100,$A68,'Jul2026'!M3:M100,$B68)+SUMIFS('Aug2026'!K3:K100,'Aug2026'!L3:L100,$A68,'Aug2026'!M3:M100,$B68)+SUMIFS('Sep2026'!K3:K100,'Sep2026'!L3:L100,$A68,'Sep2026'!M3:M100,$B68)+SUMIFS('Oct2026'!K3:K100,'Oct2026'!L3:L100,$A68,'Oct2026'!M3:M100,$B68)+SUMIFS('Nov2026'!K3:K100,'Nov2026'!L3:L100,$A68,'Nov2026'!M3:M100,$B68)+SUMIFS('Dec2026'!K3:K100,'Dec2026'!L3:L100,$A68,'Dec2026'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11">
        <f>SUMIFS('Jan2026'!K3:K100,'Jan2026'!L3:L100,$A69,'Jan2026'!M3:M100,$B69)+SUMIFS('Feb2026'!K3:K100,'Feb2026'!L3:L100,$A69,'Feb2026'!M3:M100,$B69)+SUMIFS('Mar2026'!K3:K100,'Mar2026'!L3:L100,$A69,'Mar2026'!M3:M100,$B69)+SUMIFS('Apr2026'!K3:K100,'Apr2026'!L3:L100,$A69,'Apr2026'!M3:M100,$B69)+SUMIFS('May2026'!K3:K100,'May2026'!L3:L100,$A69,'May2026'!M3:M100,$B69)+SUMIFS('Jun2026'!K3:K100,'Jun2026'!L3:L100,$A69,'Jun2026'!M3:M100,$B69)+SUMIFS('Jul2026'!K3:K100,'Jul2026'!L3:L100,$A69,'Jul2026'!M3:M100,$B69)+SUMIFS('Aug2026'!K3:K100,'Aug2026'!L3:L100,$A69,'Aug2026'!M3:M100,$B69)+SUMIFS('Sep2026'!K3:K100,'Sep2026'!L3:L100,$A69,'Sep2026'!M3:M100,$B69)+SUMIFS('Oct2026'!K3:K100,'Oct2026'!L3:L100,$A69,'Oct2026'!M3:M100,$B69)+SUMIFS('Nov2026'!K3:K100,'Nov2026'!L3:L100,$A69,'Nov2026'!M3:M100,$B69)+SUMIFS('Dec2026'!K3:K100,'Dec2026'!L3:L100,$A69,'Dec2026'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11">
        <f>SUMIFS('Jan2026'!K3:K100,'Jan2026'!L3:L100,$A70,'Jan2026'!M3:M100,$B70)+SUMIFS('Feb2026'!K3:K100,'Feb2026'!L3:L100,$A70,'Feb2026'!M3:M100,$B70)+SUMIFS('Mar2026'!K3:K100,'Mar2026'!L3:L100,$A70,'Mar2026'!M3:M100,$B70)+SUMIFS('Apr2026'!K3:K100,'Apr2026'!L3:L100,$A70,'Apr2026'!M3:M100,$B70)+SUMIFS('May2026'!K3:K100,'May2026'!L3:L100,$A70,'May2026'!M3:M100,$B70)+SUMIFS('Jun2026'!K3:K100,'Jun2026'!L3:L100,$A70,'Jun2026'!M3:M100,$B70)+SUMIFS('Jul2026'!K3:K100,'Jul2026'!L3:L100,$A70,'Jul2026'!M3:M100,$B70)+SUMIFS('Aug2026'!K3:K100,'Aug2026'!L3:L100,$A70,'Aug2026'!M3:M100,$B70)+SUMIFS('Sep2026'!K3:K100,'Sep2026'!L3:L100,$A70,'Sep2026'!M3:M100,$B70)+SUMIFS('Oct2026'!K3:K100,'Oct2026'!L3:L100,$A70,'Oct2026'!M3:M100,$B70)+SUMIFS('Nov2026'!K3:K100,'Nov2026'!L3:L100,$A70,'Nov2026'!M3:M100,$B70)+SUMIFS('Dec2026'!K3:K100,'Dec2026'!L3:L100,$A70,'Dec2026'!M3:M100,$B70)</f>
        <v/>
      </c>
    </row>
    <row r="71">
      <c r="A71" t="inlineStr">
        <is>
          <t>Site Development</t>
        </is>
      </c>
      <c r="B71" t="inlineStr">
        <is>
          <t>Blacktop Roads</t>
        </is>
      </c>
      <c r="C71" s="11">
        <f>SUMIFS('Jan2026'!K3:K100,'Jan2026'!L3:L100,$A71,'Jan2026'!M3:M100,$B71)+SUMIFS('Feb2026'!K3:K100,'Feb2026'!L3:L100,$A71,'Feb2026'!M3:M100,$B71)+SUMIFS('Mar2026'!K3:K100,'Mar2026'!L3:L100,$A71,'Mar2026'!M3:M100,$B71)+SUMIFS('Apr2026'!K3:K100,'Apr2026'!L3:L100,$A71,'Apr2026'!M3:M100,$B71)+SUMIFS('May2026'!K3:K100,'May2026'!L3:L100,$A71,'May2026'!M3:M100,$B71)+SUMIFS('Jun2026'!K3:K100,'Jun2026'!L3:L100,$A71,'Jun2026'!M3:M100,$B71)+SUMIFS('Jul2026'!K3:K100,'Jul2026'!L3:L100,$A71,'Jul2026'!M3:M100,$B71)+SUMIFS('Aug2026'!K3:K100,'Aug2026'!L3:L100,$A71,'Aug2026'!M3:M100,$B71)+SUMIFS('Sep2026'!K3:K100,'Sep2026'!L3:L100,$A71,'Sep2026'!M3:M100,$B71)+SUMIFS('Oct2026'!K3:K100,'Oct2026'!L3:L100,$A71,'Oct2026'!M3:M100,$B71)+SUMIFS('Nov2026'!K3:K100,'Nov2026'!L3:L100,$A71,'Nov2026'!M3:M100,$B71)+SUMIFS('Dec2026'!K3:K100,'Dec2026'!L3:L100,$A71,'Dec2026'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11">
        <f>SUMIFS('Jan2026'!K3:K100,'Jan2026'!L3:L100,$A72,'Jan2026'!M3:M100,$B72)+SUMIFS('Feb2026'!K3:K100,'Feb2026'!L3:L100,$A72,'Feb2026'!M3:M100,$B72)+SUMIFS('Mar2026'!K3:K100,'Mar2026'!L3:L100,$A72,'Mar2026'!M3:M100,$B72)+SUMIFS('Apr2026'!K3:K100,'Apr2026'!L3:L100,$A72,'Apr2026'!M3:M100,$B72)+SUMIFS('May2026'!K3:K100,'May2026'!L3:L100,$A72,'May2026'!M3:M100,$B72)+SUMIFS('Jun2026'!K3:K100,'Jun2026'!L3:L100,$A72,'Jun2026'!M3:M100,$B72)+SUMIFS('Jul2026'!K3:K100,'Jul2026'!L3:L100,$A72,'Jul2026'!M3:M100,$B72)+SUMIFS('Aug2026'!K3:K100,'Aug2026'!L3:L100,$A72,'Aug2026'!M3:M100,$B72)+SUMIFS('Sep2026'!K3:K100,'Sep2026'!L3:L100,$A72,'Sep2026'!M3:M100,$B72)+SUMIFS('Oct2026'!K3:K100,'Oct2026'!L3:L100,$A72,'Oct2026'!M3:M100,$B72)+SUMIFS('Nov2026'!K3:K100,'Nov2026'!L3:L100,$A72,'Nov2026'!M3:M100,$B72)+SUMIFS('Dec2026'!K3:K100,'Dec2026'!L3:L100,$A72,'Dec2026'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11">
        <f>SUMIFS('Jan2026'!K3:K100,'Jan2026'!L3:L100,$A73,'Jan2026'!M3:M100,$B73)+SUMIFS('Feb2026'!K3:K100,'Feb2026'!L3:L100,$A73,'Feb2026'!M3:M100,$B73)+SUMIFS('Mar2026'!K3:K100,'Mar2026'!L3:L100,$A73,'Mar2026'!M3:M100,$B73)+SUMIFS('Apr2026'!K3:K100,'Apr2026'!L3:L100,$A73,'Apr2026'!M3:M100,$B73)+SUMIFS('May2026'!K3:K100,'May2026'!L3:L100,$A73,'May2026'!M3:M100,$B73)+SUMIFS('Jun2026'!K3:K100,'Jun2026'!L3:L100,$A73,'Jun2026'!M3:M100,$B73)+SUMIFS('Jul2026'!K3:K100,'Jul2026'!L3:L100,$A73,'Jul2026'!M3:M100,$B73)+SUMIFS('Aug2026'!K3:K100,'Aug2026'!L3:L100,$A73,'Aug2026'!M3:M100,$B73)+SUMIFS('Sep2026'!K3:K100,'Sep2026'!L3:L100,$A73,'Sep2026'!M3:M100,$B73)+SUMIFS('Oct2026'!K3:K100,'Oct2026'!L3:L100,$A73,'Oct2026'!M3:M100,$B73)+SUMIFS('Nov2026'!K3:K100,'Nov2026'!L3:L100,$A73,'Nov2026'!M3:M100,$B73)+SUMIFS('Dec2026'!K3:K100,'Dec2026'!L3:L100,$A73,'Dec2026'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11">
        <f>SUMIFS('Jan2026'!K3:K100,'Jan2026'!L3:L100,$A74,'Jan2026'!M3:M100,$B74)+SUMIFS('Feb2026'!K3:K100,'Feb2026'!L3:L100,$A74,'Feb2026'!M3:M100,$B74)+SUMIFS('Mar2026'!K3:K100,'Mar2026'!L3:L100,$A74,'Mar2026'!M3:M100,$B74)+SUMIFS('Apr2026'!K3:K100,'Apr2026'!L3:L100,$A74,'Apr2026'!M3:M100,$B74)+SUMIFS('May2026'!K3:K100,'May2026'!L3:L100,$A74,'May2026'!M3:M100,$B74)+SUMIFS('Jun2026'!K3:K100,'Jun2026'!L3:L100,$A74,'Jun2026'!M3:M100,$B74)+SUMIFS('Jul2026'!K3:K100,'Jul2026'!L3:L100,$A74,'Jul2026'!M3:M100,$B74)+SUMIFS('Aug2026'!K3:K100,'Aug2026'!L3:L100,$A74,'Aug2026'!M3:M100,$B74)+SUMIFS('Sep2026'!K3:K100,'Sep2026'!L3:L100,$A74,'Sep2026'!M3:M100,$B74)+SUMIFS('Oct2026'!K3:K100,'Oct2026'!L3:L100,$A74,'Oct2026'!M3:M100,$B74)+SUMIFS('Nov2026'!K3:K100,'Nov2026'!L3:L100,$A74,'Nov2026'!M3:M100,$B74)+SUMIFS('Dec2026'!K3:K100,'Dec2026'!L3:L100,$A74,'Dec2026'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11">
        <f>SUMIFS('Jan2026'!K3:K100,'Jan2026'!L3:L100,$A75,'Jan2026'!M3:M100,$B75)+SUMIFS('Feb2026'!K3:K100,'Feb2026'!L3:L100,$A75,'Feb2026'!M3:M100,$B75)+SUMIFS('Mar2026'!K3:K100,'Mar2026'!L3:L100,$A75,'Mar2026'!M3:M100,$B75)+SUMIFS('Apr2026'!K3:K100,'Apr2026'!L3:L100,$A75,'Apr2026'!M3:M100,$B75)+SUMIFS('May2026'!K3:K100,'May2026'!L3:L100,$A75,'May2026'!M3:M100,$B75)+SUMIFS('Jun2026'!K3:K100,'Jun2026'!L3:L100,$A75,'Jun2026'!M3:M100,$B75)+SUMIFS('Jul2026'!K3:K100,'Jul2026'!L3:L100,$A75,'Jul2026'!M3:M100,$B75)+SUMIFS('Aug2026'!K3:K100,'Aug2026'!L3:L100,$A75,'Aug2026'!M3:M100,$B75)+SUMIFS('Sep2026'!K3:K100,'Sep2026'!L3:L100,$A75,'Sep2026'!M3:M100,$B75)+SUMIFS('Oct2026'!K3:K100,'Oct2026'!L3:L100,$A75,'Oct2026'!M3:M100,$B75)+SUMIFS('Nov2026'!K3:K100,'Nov2026'!L3:L100,$A75,'Nov2026'!M3:M100,$B75)+SUMIFS('Dec2026'!K3:K100,'Dec2026'!L3:L100,$A75,'Dec2026'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11">
        <f>SUMIFS('Jan2026'!K3:K100,'Jan2026'!L3:L100,$A76,'Jan2026'!M3:M100,$B76)+SUMIFS('Feb2026'!K3:K100,'Feb2026'!L3:L100,$A76,'Feb2026'!M3:M100,$B76)+SUMIFS('Mar2026'!K3:K100,'Mar2026'!L3:L100,$A76,'Mar2026'!M3:M100,$B76)+SUMIFS('Apr2026'!K3:K100,'Apr2026'!L3:L100,$A76,'Apr2026'!M3:M100,$B76)+SUMIFS('May2026'!K3:K100,'May2026'!L3:L100,$A76,'May2026'!M3:M100,$B76)+SUMIFS('Jun2026'!K3:K100,'Jun2026'!L3:L100,$A76,'Jun2026'!M3:M100,$B76)+SUMIFS('Jul2026'!K3:K100,'Jul2026'!L3:L100,$A76,'Jul2026'!M3:M100,$B76)+SUMIFS('Aug2026'!K3:K100,'Aug2026'!L3:L100,$A76,'Aug2026'!M3:M100,$B76)+SUMIFS('Sep2026'!K3:K100,'Sep2026'!L3:L100,$A76,'Sep2026'!M3:M100,$B76)+SUMIFS('Oct2026'!K3:K100,'Oct2026'!L3:L100,$A76,'Oct2026'!M3:M100,$B76)+SUMIFS('Nov2026'!K3:K100,'Nov2026'!L3:L100,$A76,'Nov2026'!M3:M100,$B76)+SUMIFS('Dec2026'!K3:K100,'Dec2026'!L3:L100,$A76,'Dec2026'!M3:M100,$B76)</f>
        <v/>
      </c>
    </row>
    <row r="77">
      <c r="A77" t="inlineStr">
        <is>
          <t>Utilities</t>
        </is>
      </c>
      <c r="B77" t="inlineStr">
        <is>
          <t>Borewell</t>
        </is>
      </c>
      <c r="C77" s="11">
        <f>SUMIFS('Jan2026'!K3:K100,'Jan2026'!L3:L100,$A77,'Jan2026'!M3:M100,$B77)+SUMIFS('Feb2026'!K3:K100,'Feb2026'!L3:L100,$A77,'Feb2026'!M3:M100,$B77)+SUMIFS('Mar2026'!K3:K100,'Mar2026'!L3:L100,$A77,'Mar2026'!M3:M100,$B77)+SUMIFS('Apr2026'!K3:K100,'Apr2026'!L3:L100,$A77,'Apr2026'!M3:M100,$B77)+SUMIFS('May2026'!K3:K100,'May2026'!L3:L100,$A77,'May2026'!M3:M100,$B77)+SUMIFS('Jun2026'!K3:K100,'Jun2026'!L3:L100,$A77,'Jun2026'!M3:M100,$B77)+SUMIFS('Jul2026'!K3:K100,'Jul2026'!L3:L100,$A77,'Jul2026'!M3:M100,$B77)+SUMIFS('Aug2026'!K3:K100,'Aug2026'!L3:L100,$A77,'Aug2026'!M3:M100,$B77)+SUMIFS('Sep2026'!K3:K100,'Sep2026'!L3:L100,$A77,'Sep2026'!M3:M100,$B77)+SUMIFS('Oct2026'!K3:K100,'Oct2026'!L3:L100,$A77,'Oct2026'!M3:M100,$B77)+SUMIFS('Nov2026'!K3:K100,'Nov2026'!L3:L100,$A77,'Nov2026'!M3:M100,$B77)+SUMIFS('Dec2026'!K3:K100,'Dec2026'!L3:L100,$A77,'Dec2026'!M3:M100,$B77)</f>
        <v/>
      </c>
    </row>
    <row r="78">
      <c r="A78" t="inlineStr">
        <is>
          <t>Utilities</t>
        </is>
      </c>
      <c r="B78" t="inlineStr">
        <is>
          <t>Water Pipelines</t>
        </is>
      </c>
      <c r="C78" s="11">
        <f>SUMIFS('Jan2026'!K3:K100,'Jan2026'!L3:L100,$A78,'Jan2026'!M3:M100,$B78)+SUMIFS('Feb2026'!K3:K100,'Feb2026'!L3:L100,$A78,'Feb2026'!M3:M100,$B78)+SUMIFS('Mar2026'!K3:K100,'Mar2026'!L3:L100,$A78,'Mar2026'!M3:M100,$B78)+SUMIFS('Apr2026'!K3:K100,'Apr2026'!L3:L100,$A78,'Apr2026'!M3:M100,$B78)+SUMIFS('May2026'!K3:K100,'May2026'!L3:L100,$A78,'May2026'!M3:M100,$B78)+SUMIFS('Jun2026'!K3:K100,'Jun2026'!L3:L100,$A78,'Jun2026'!M3:M100,$B78)+SUMIFS('Jul2026'!K3:K100,'Jul2026'!L3:L100,$A78,'Jul2026'!M3:M100,$B78)+SUMIFS('Aug2026'!K3:K100,'Aug2026'!L3:L100,$A78,'Aug2026'!M3:M100,$B78)+SUMIFS('Sep2026'!K3:K100,'Sep2026'!L3:L100,$A78,'Sep2026'!M3:M100,$B78)+SUMIFS('Oct2026'!K3:K100,'Oct2026'!L3:L100,$A78,'Oct2026'!M3:M100,$B78)+SUMIFS('Nov2026'!K3:K100,'Nov2026'!L3:L100,$A78,'Nov2026'!M3:M100,$B78)+SUMIFS('Dec2026'!K3:K100,'Dec2026'!L3:L100,$A78,'Dec2026'!M3:M100,$B78)</f>
        <v/>
      </c>
    </row>
    <row r="79">
      <c r="A79" t="inlineStr">
        <is>
          <t>Utilities</t>
        </is>
      </c>
      <c r="B79" t="inlineStr">
        <is>
          <t>Water Tank</t>
        </is>
      </c>
      <c r="C79" s="11">
        <f>SUMIFS('Jan2026'!K3:K100,'Jan2026'!L3:L100,$A79,'Jan2026'!M3:M100,$B79)+SUMIFS('Feb2026'!K3:K100,'Feb2026'!L3:L100,$A79,'Feb2026'!M3:M100,$B79)+SUMIFS('Mar2026'!K3:K100,'Mar2026'!L3:L100,$A79,'Mar2026'!M3:M100,$B79)+SUMIFS('Apr2026'!K3:K100,'Apr2026'!L3:L100,$A79,'Apr2026'!M3:M100,$B79)+SUMIFS('May2026'!K3:K100,'May2026'!L3:L100,$A79,'May2026'!M3:M100,$B79)+SUMIFS('Jun2026'!K3:K100,'Jun2026'!L3:L100,$A79,'Jun2026'!M3:M100,$B79)+SUMIFS('Jul2026'!K3:K100,'Jul2026'!L3:L100,$A79,'Jul2026'!M3:M100,$B79)+SUMIFS('Aug2026'!K3:K100,'Aug2026'!L3:L100,$A79,'Aug2026'!M3:M100,$B79)+SUMIFS('Sep2026'!K3:K100,'Sep2026'!L3:L100,$A79,'Sep2026'!M3:M100,$B79)+SUMIFS('Oct2026'!K3:K100,'Oct2026'!L3:L100,$A79,'Oct2026'!M3:M100,$B79)+SUMIFS('Nov2026'!K3:K100,'Nov2026'!L3:L100,$A79,'Nov2026'!M3:M100,$B79)+SUMIFS('Dec2026'!K3:K100,'Dec2026'!L3:L100,$A79,'Dec2026'!M3:M100,$B79)</f>
        <v/>
      </c>
    </row>
    <row r="80">
      <c r="A80" t="inlineStr">
        <is>
          <t>Utilities</t>
        </is>
      </c>
      <c r="B80" t="inlineStr">
        <is>
          <t>Electricity Connection</t>
        </is>
      </c>
      <c r="C80" s="11">
        <f>SUMIFS('Jan2026'!K3:K100,'Jan2026'!L3:L100,$A80,'Jan2026'!M3:M100,$B80)+SUMIFS('Feb2026'!K3:K100,'Feb2026'!L3:L100,$A80,'Feb2026'!M3:M100,$B80)+SUMIFS('Mar2026'!K3:K100,'Mar2026'!L3:L100,$A80,'Mar2026'!M3:M100,$B80)+SUMIFS('Apr2026'!K3:K100,'Apr2026'!L3:L100,$A80,'Apr2026'!M3:M100,$B80)+SUMIFS('May2026'!K3:K100,'May2026'!L3:L100,$A80,'May2026'!M3:M100,$B80)+SUMIFS('Jun2026'!K3:K100,'Jun2026'!L3:L100,$A80,'Jun2026'!M3:M100,$B80)+SUMIFS('Jul2026'!K3:K100,'Jul2026'!L3:L100,$A80,'Jul2026'!M3:M100,$B80)+SUMIFS('Aug2026'!K3:K100,'Aug2026'!L3:L100,$A80,'Aug2026'!M3:M100,$B80)+SUMIFS('Sep2026'!K3:K100,'Sep2026'!L3:L100,$A80,'Sep2026'!M3:M100,$B80)+SUMIFS('Oct2026'!K3:K100,'Oct2026'!L3:L100,$A80,'Oct2026'!M3:M100,$B80)+SUMIFS('Nov2026'!K3:K100,'Nov2026'!L3:L100,$A80,'Nov2026'!M3:M100,$B80)+SUMIFS('Dec2026'!K3:K100,'Dec2026'!L3:L100,$A80,'Dec2026'!M3:M100,$B80)</f>
        <v/>
      </c>
    </row>
    <row r="81">
      <c r="A81" t="inlineStr">
        <is>
          <t>Utilities</t>
        </is>
      </c>
      <c r="B81" t="inlineStr">
        <is>
          <t>Transformer</t>
        </is>
      </c>
      <c r="C81" s="11">
        <f>SUMIFS('Jan2026'!K3:K100,'Jan2026'!L3:L100,$A81,'Jan2026'!M3:M100,$B81)+SUMIFS('Feb2026'!K3:K100,'Feb2026'!L3:L100,$A81,'Feb2026'!M3:M100,$B81)+SUMIFS('Mar2026'!K3:K100,'Mar2026'!L3:L100,$A81,'Mar2026'!M3:M100,$B81)+SUMIFS('Apr2026'!K3:K100,'Apr2026'!L3:L100,$A81,'Apr2026'!M3:M100,$B81)+SUMIFS('May2026'!K3:K100,'May2026'!L3:L100,$A81,'May2026'!M3:M100,$B81)+SUMIFS('Jun2026'!K3:K100,'Jun2026'!L3:L100,$A81,'Jun2026'!M3:M100,$B81)+SUMIFS('Jul2026'!K3:K100,'Jul2026'!L3:L100,$A81,'Jul2026'!M3:M100,$B81)+SUMIFS('Aug2026'!K3:K100,'Aug2026'!L3:L100,$A81,'Aug2026'!M3:M100,$B81)+SUMIFS('Sep2026'!K3:K100,'Sep2026'!L3:L100,$A81,'Sep2026'!M3:M100,$B81)+SUMIFS('Oct2026'!K3:K100,'Oct2026'!L3:L100,$A81,'Oct2026'!M3:M100,$B81)+SUMIFS('Nov2026'!K3:K100,'Nov2026'!L3:L100,$A81,'Nov2026'!M3:M100,$B81)+SUMIFS('Dec2026'!K3:K100,'Dec2026'!L3:L100,$A81,'Dec2026'!M3:M100,$B81)</f>
        <v/>
      </c>
    </row>
    <row r="82">
      <c r="A82" t="inlineStr">
        <is>
          <t>Utilities</t>
        </is>
      </c>
      <c r="B82" t="inlineStr">
        <is>
          <t>Street Lights</t>
        </is>
      </c>
      <c r="C82" s="11">
        <f>SUMIFS('Jan2026'!K3:K100,'Jan2026'!L3:L100,$A82,'Jan2026'!M3:M100,$B82)+SUMIFS('Feb2026'!K3:K100,'Feb2026'!L3:L100,$A82,'Feb2026'!M3:M100,$B82)+SUMIFS('Mar2026'!K3:K100,'Mar2026'!L3:L100,$A82,'Mar2026'!M3:M100,$B82)+SUMIFS('Apr2026'!K3:K100,'Apr2026'!L3:L100,$A82,'Apr2026'!M3:M100,$B82)+SUMIFS('May2026'!K3:K100,'May2026'!L3:L100,$A82,'May2026'!M3:M100,$B82)+SUMIFS('Jun2026'!K3:K100,'Jun2026'!L3:L100,$A82,'Jun2026'!M3:M100,$B82)+SUMIFS('Jul2026'!K3:K100,'Jul2026'!L3:L100,$A82,'Jul2026'!M3:M100,$B82)+SUMIFS('Aug2026'!K3:K100,'Aug2026'!L3:L100,$A82,'Aug2026'!M3:M100,$B82)+SUMIFS('Sep2026'!K3:K100,'Sep2026'!L3:L100,$A82,'Sep2026'!M3:M100,$B82)+SUMIFS('Oct2026'!K3:K100,'Oct2026'!L3:L100,$A82,'Oct2026'!M3:M100,$B82)+SUMIFS('Nov2026'!K3:K100,'Nov2026'!L3:L100,$A82,'Nov2026'!M3:M100,$B82)+SUMIFS('Dec2026'!K3:K100,'Dec2026'!L3:L100,$A82,'Dec2026'!M3:M100,$B82)</f>
        <v/>
      </c>
    </row>
    <row r="83">
      <c r="A83" t="inlineStr">
        <is>
          <t>Utilities</t>
        </is>
      </c>
      <c r="B83" t="inlineStr">
        <is>
          <t>Generator</t>
        </is>
      </c>
      <c r="C83" s="11">
        <f>SUMIFS('Jan2026'!K3:K100,'Jan2026'!L3:L100,$A83,'Jan2026'!M3:M100,$B83)+SUMIFS('Feb2026'!K3:K100,'Feb2026'!L3:L100,$A83,'Feb2026'!M3:M100,$B83)+SUMIFS('Mar2026'!K3:K100,'Mar2026'!L3:L100,$A83,'Mar2026'!M3:M100,$B83)+SUMIFS('Apr2026'!K3:K100,'Apr2026'!L3:L100,$A83,'Apr2026'!M3:M100,$B83)+SUMIFS('May2026'!K3:K100,'May2026'!L3:L100,$A83,'May2026'!M3:M100,$B83)+SUMIFS('Jun2026'!K3:K100,'Jun2026'!L3:L100,$A83,'Jun2026'!M3:M100,$B83)+SUMIFS('Jul2026'!K3:K100,'Jul2026'!L3:L100,$A83,'Jul2026'!M3:M100,$B83)+SUMIFS('Aug2026'!K3:K100,'Aug2026'!L3:L100,$A83,'Aug2026'!M3:M100,$B83)+SUMIFS('Sep2026'!K3:K100,'Sep2026'!L3:L100,$A83,'Sep2026'!M3:M100,$B83)+SUMIFS('Oct2026'!K3:K100,'Oct2026'!L3:L100,$A83,'Oct2026'!M3:M100,$B83)+SUMIFS('Nov2026'!K3:K100,'Nov2026'!L3:L100,$A83,'Nov2026'!M3:M100,$B83)+SUMIFS('Dec2026'!K3:K100,'Dec2026'!L3:L100,$A83,'Dec2026'!M3:M100,$B83)</f>
        <v/>
      </c>
    </row>
    <row r="84">
      <c r="A84" t="inlineStr">
        <is>
          <t>Landscaping</t>
        </is>
      </c>
      <c r="B84" t="inlineStr">
        <is>
          <t>Plantation</t>
        </is>
      </c>
      <c r="C84" s="11">
        <f>SUMIFS('Jan2026'!K3:K100,'Jan2026'!L3:L100,$A84,'Jan2026'!M3:M100,$B84)+SUMIFS('Feb2026'!K3:K100,'Feb2026'!L3:L100,$A84,'Feb2026'!M3:M100,$B84)+SUMIFS('Mar2026'!K3:K100,'Mar2026'!L3:L100,$A84,'Mar2026'!M3:M100,$B84)+SUMIFS('Apr2026'!K3:K100,'Apr2026'!L3:L100,$A84,'Apr2026'!M3:M100,$B84)+SUMIFS('May2026'!K3:K100,'May2026'!L3:L100,$A84,'May2026'!M3:M100,$B84)+SUMIFS('Jun2026'!K3:K100,'Jun2026'!L3:L100,$A84,'Jun2026'!M3:M100,$B84)+SUMIFS('Jul2026'!K3:K100,'Jul2026'!L3:L100,$A84,'Jul2026'!M3:M100,$B84)+SUMIFS('Aug2026'!K3:K100,'Aug2026'!L3:L100,$A84,'Aug2026'!M3:M100,$B84)+SUMIFS('Sep2026'!K3:K100,'Sep2026'!L3:L100,$A84,'Sep2026'!M3:M100,$B84)+SUMIFS('Oct2026'!K3:K100,'Oct2026'!L3:L100,$A84,'Oct2026'!M3:M100,$B84)+SUMIFS('Nov2026'!K3:K100,'Nov2026'!L3:L100,$A84,'Nov2026'!M3:M100,$B84)+SUMIFS('Dec2026'!K3:K100,'Dec2026'!L3:L100,$A84,'Dec2026'!M3:M100,$B84)</f>
        <v/>
      </c>
    </row>
    <row r="85">
      <c r="A85" t="inlineStr">
        <is>
          <t>Landscaping</t>
        </is>
      </c>
      <c r="B85" t="inlineStr">
        <is>
          <t>Miyawaki Forest</t>
        </is>
      </c>
      <c r="C85" s="11">
        <f>SUMIFS('Jan2026'!K3:K100,'Jan2026'!L3:L100,$A85,'Jan2026'!M3:M100,$B85)+SUMIFS('Feb2026'!K3:K100,'Feb2026'!L3:L100,$A85,'Feb2026'!M3:M100,$B85)+SUMIFS('Mar2026'!K3:K100,'Mar2026'!L3:L100,$A85,'Mar2026'!M3:M100,$B85)+SUMIFS('Apr2026'!K3:K100,'Apr2026'!L3:L100,$A85,'Apr2026'!M3:M100,$B85)+SUMIFS('May2026'!K3:K100,'May2026'!L3:L100,$A85,'May2026'!M3:M100,$B85)+SUMIFS('Jun2026'!K3:K100,'Jun2026'!L3:L100,$A85,'Jun2026'!M3:M100,$B85)+SUMIFS('Jul2026'!K3:K100,'Jul2026'!L3:L100,$A85,'Jul2026'!M3:M100,$B85)+SUMIFS('Aug2026'!K3:K100,'Aug2026'!L3:L100,$A85,'Aug2026'!M3:M100,$B85)+SUMIFS('Sep2026'!K3:K100,'Sep2026'!L3:L100,$A85,'Sep2026'!M3:M100,$B85)+SUMIFS('Oct2026'!K3:K100,'Oct2026'!L3:L100,$A85,'Oct2026'!M3:M100,$B85)+SUMIFS('Nov2026'!K3:K100,'Nov2026'!L3:L100,$A85,'Nov2026'!M3:M100,$B85)+SUMIFS('Dec2026'!K3:K100,'Dec2026'!L3:L100,$A85,'Dec2026'!M3:M100,$B85)</f>
        <v/>
      </c>
    </row>
    <row r="86">
      <c r="A86" t="inlineStr">
        <is>
          <t>Landscaping</t>
        </is>
      </c>
      <c r="B86" t="inlineStr">
        <is>
          <t>Lawn Development</t>
        </is>
      </c>
      <c r="C86" s="11">
        <f>SUMIFS('Jan2026'!K3:K100,'Jan2026'!L3:L100,$A86,'Jan2026'!M3:M100,$B86)+SUMIFS('Feb2026'!K3:K100,'Feb2026'!L3:L100,$A86,'Feb2026'!M3:M100,$B86)+SUMIFS('Mar2026'!K3:K100,'Mar2026'!L3:L100,$A86,'Mar2026'!M3:M100,$B86)+SUMIFS('Apr2026'!K3:K100,'Apr2026'!L3:L100,$A86,'Apr2026'!M3:M100,$B86)+SUMIFS('May2026'!K3:K100,'May2026'!L3:L100,$A86,'May2026'!M3:M100,$B86)+SUMIFS('Jun2026'!K3:K100,'Jun2026'!L3:L100,$A86,'Jun2026'!M3:M100,$B86)+SUMIFS('Jul2026'!K3:K100,'Jul2026'!L3:L100,$A86,'Jul2026'!M3:M100,$B86)+SUMIFS('Aug2026'!K3:K100,'Aug2026'!L3:L100,$A86,'Aug2026'!M3:M100,$B86)+SUMIFS('Sep2026'!K3:K100,'Sep2026'!L3:L100,$A86,'Sep2026'!M3:M100,$B86)+SUMIFS('Oct2026'!K3:K100,'Oct2026'!L3:L100,$A86,'Oct2026'!M3:M100,$B86)+SUMIFS('Nov2026'!K3:K100,'Nov2026'!L3:L100,$A86,'Nov2026'!M3:M100,$B86)+SUMIFS('Dec2026'!K3:K100,'Dec2026'!L3:L100,$A86,'Dec2026'!M3:M100,$B86)</f>
        <v/>
      </c>
    </row>
    <row r="87">
      <c r="A87" t="inlineStr">
        <is>
          <t>Landscaping</t>
        </is>
      </c>
      <c r="B87" t="inlineStr">
        <is>
          <t>Irrigation/Drip System</t>
        </is>
      </c>
      <c r="C87" s="11">
        <f>SUMIFS('Jan2026'!K3:K100,'Jan2026'!L3:L100,$A87,'Jan2026'!M3:M100,$B87)+SUMIFS('Feb2026'!K3:K100,'Feb2026'!L3:L100,$A87,'Feb2026'!M3:M100,$B87)+SUMIFS('Mar2026'!K3:K100,'Mar2026'!L3:L100,$A87,'Mar2026'!M3:M100,$B87)+SUMIFS('Apr2026'!K3:K100,'Apr2026'!L3:L100,$A87,'Apr2026'!M3:M100,$B87)+SUMIFS('May2026'!K3:K100,'May2026'!L3:L100,$A87,'May2026'!M3:M100,$B87)+SUMIFS('Jun2026'!K3:K100,'Jun2026'!L3:L100,$A87,'Jun2026'!M3:M100,$B87)+SUMIFS('Jul2026'!K3:K100,'Jul2026'!L3:L100,$A87,'Jul2026'!M3:M100,$B87)+SUMIFS('Aug2026'!K3:K100,'Aug2026'!L3:L100,$A87,'Aug2026'!M3:M100,$B87)+SUMIFS('Sep2026'!K3:K100,'Sep2026'!L3:L100,$A87,'Sep2026'!M3:M100,$B87)+SUMIFS('Oct2026'!K3:K100,'Oct2026'!L3:L100,$A87,'Oct2026'!M3:M100,$B87)+SUMIFS('Nov2026'!K3:K100,'Nov2026'!L3:L100,$A87,'Nov2026'!M3:M100,$B87)+SUMIFS('Dec2026'!K3:K100,'Dec2026'!L3:L100,$A87,'Dec2026'!M3:M100,$B87)</f>
        <v/>
      </c>
    </row>
    <row r="88">
      <c r="A88" t="inlineStr">
        <is>
          <t>Landscaping</t>
        </is>
      </c>
      <c r="B88" t="inlineStr">
        <is>
          <t>Garden Maintenance</t>
        </is>
      </c>
      <c r="C88" s="11">
        <f>SUMIFS('Jan2026'!K3:K100,'Jan2026'!L3:L100,$A88,'Jan2026'!M3:M100,$B88)+SUMIFS('Feb2026'!K3:K100,'Feb2026'!L3:L100,$A88,'Feb2026'!M3:M100,$B88)+SUMIFS('Mar2026'!K3:K100,'Mar2026'!L3:L100,$A88,'Mar2026'!M3:M100,$B88)+SUMIFS('Apr2026'!K3:K100,'Apr2026'!L3:L100,$A88,'Apr2026'!M3:M100,$B88)+SUMIFS('May2026'!K3:K100,'May2026'!L3:L100,$A88,'May2026'!M3:M100,$B88)+SUMIFS('Jun2026'!K3:K100,'Jun2026'!L3:L100,$A88,'Jun2026'!M3:M100,$B88)+SUMIFS('Jul2026'!K3:K100,'Jul2026'!L3:L100,$A88,'Jul2026'!M3:M100,$B88)+SUMIFS('Aug2026'!K3:K100,'Aug2026'!L3:L100,$A88,'Aug2026'!M3:M100,$B88)+SUMIFS('Sep2026'!K3:K100,'Sep2026'!L3:L100,$A88,'Sep2026'!M3:M100,$B88)+SUMIFS('Oct2026'!K3:K100,'Oct2026'!L3:L100,$A88,'Oct2026'!M3:M100,$B88)+SUMIFS('Nov2026'!K3:K100,'Nov2026'!L3:L100,$A88,'Nov2026'!M3:M100,$B88)+SUMIFS('Dec2026'!K3:K100,'Dec2026'!L3:L100,$A88,'Dec2026'!M3:M100,$B88)</f>
        <v/>
      </c>
    </row>
    <row r="89">
      <c r="A89" t="inlineStr">
        <is>
          <t>Buildings &amp; Amenities</t>
        </is>
      </c>
      <c r="B89" t="inlineStr">
        <is>
          <t>Security Room</t>
        </is>
      </c>
      <c r="C89" s="11">
        <f>SUMIFS('Jan2026'!K3:K100,'Jan2026'!L3:L100,$A89,'Jan2026'!M3:M100,$B89)+SUMIFS('Feb2026'!K3:K100,'Feb2026'!L3:L100,$A89,'Feb2026'!M3:M100,$B89)+SUMIFS('Mar2026'!K3:K100,'Mar2026'!L3:L100,$A89,'Mar2026'!M3:M100,$B89)+SUMIFS('Apr2026'!K3:K100,'Apr2026'!L3:L100,$A89,'Apr2026'!M3:M100,$B89)+SUMIFS('May2026'!K3:K100,'May2026'!L3:L100,$A89,'May2026'!M3:M100,$B89)+SUMIFS('Jun2026'!K3:K100,'Jun2026'!L3:L100,$A89,'Jun2026'!M3:M100,$B89)+SUMIFS('Jul2026'!K3:K100,'Jul2026'!L3:L100,$A89,'Jul2026'!M3:M100,$B89)+SUMIFS('Aug2026'!K3:K100,'Aug2026'!L3:L100,$A89,'Aug2026'!M3:M100,$B89)+SUMIFS('Sep2026'!K3:K100,'Sep2026'!L3:L100,$A89,'Sep2026'!M3:M100,$B89)+SUMIFS('Oct2026'!K3:K100,'Oct2026'!L3:L100,$A89,'Oct2026'!M3:M100,$B89)+SUMIFS('Nov2026'!K3:K100,'Nov2026'!L3:L100,$A89,'Nov2026'!M3:M100,$B89)+SUMIFS('Dec2026'!K3:K100,'Dec2026'!L3:L100,$A89,'Dec2026'!M3:M100,$B89)</f>
        <v/>
      </c>
    </row>
    <row r="90">
      <c r="A90" t="inlineStr">
        <is>
          <t>Buildings &amp; Amenities</t>
        </is>
      </c>
      <c r="B90" t="inlineStr">
        <is>
          <t>Site Office</t>
        </is>
      </c>
      <c r="C90" s="11">
        <f>SUMIFS('Jan2026'!K3:K100,'Jan2026'!L3:L100,$A90,'Jan2026'!M3:M100,$B90)+SUMIFS('Feb2026'!K3:K100,'Feb2026'!L3:L100,$A90,'Feb2026'!M3:M100,$B90)+SUMIFS('Mar2026'!K3:K100,'Mar2026'!L3:L100,$A90,'Mar2026'!M3:M100,$B90)+SUMIFS('Apr2026'!K3:K100,'Apr2026'!L3:L100,$A90,'Apr2026'!M3:M100,$B90)+SUMIFS('May2026'!K3:K100,'May2026'!L3:L100,$A90,'May2026'!M3:M100,$B90)+SUMIFS('Jun2026'!K3:K100,'Jun2026'!L3:L100,$A90,'Jun2026'!M3:M100,$B90)+SUMIFS('Jul2026'!K3:K100,'Jul2026'!L3:L100,$A90,'Jul2026'!M3:M100,$B90)+SUMIFS('Aug2026'!K3:K100,'Aug2026'!L3:L100,$A90,'Aug2026'!M3:M100,$B90)+SUMIFS('Sep2026'!K3:K100,'Sep2026'!L3:L100,$A90,'Sep2026'!M3:M100,$B90)+SUMIFS('Oct2026'!K3:K100,'Oct2026'!L3:L100,$A90,'Oct2026'!M3:M100,$B90)+SUMIFS('Nov2026'!K3:K100,'Nov2026'!L3:L100,$A90,'Nov2026'!M3:M100,$B90)+SUMIFS('Dec2026'!K3:K100,'Dec2026'!L3:L100,$A90,'Dec2026'!M3:M100,$B90)</f>
        <v/>
      </c>
    </row>
    <row r="91">
      <c r="A91" t="inlineStr">
        <is>
          <t>Buildings &amp; Amenities</t>
        </is>
      </c>
      <c r="B91" t="inlineStr">
        <is>
          <t>Clubhouse</t>
        </is>
      </c>
      <c r="C91" s="11">
        <f>SUMIFS('Jan2026'!K3:K100,'Jan2026'!L3:L100,$A91,'Jan2026'!M3:M100,$B91)+SUMIFS('Feb2026'!K3:K100,'Feb2026'!L3:L100,$A91,'Feb2026'!M3:M100,$B91)+SUMIFS('Mar2026'!K3:K100,'Mar2026'!L3:L100,$A91,'Mar2026'!M3:M100,$B91)+SUMIFS('Apr2026'!K3:K100,'Apr2026'!L3:L100,$A91,'Apr2026'!M3:M100,$B91)+SUMIFS('May2026'!K3:K100,'May2026'!L3:L100,$A91,'May2026'!M3:M100,$B91)+SUMIFS('Jun2026'!K3:K100,'Jun2026'!L3:L100,$A91,'Jun2026'!M3:M100,$B91)+SUMIFS('Jul2026'!K3:K100,'Jul2026'!L3:L100,$A91,'Jul2026'!M3:M100,$B91)+SUMIFS('Aug2026'!K3:K100,'Aug2026'!L3:L100,$A91,'Aug2026'!M3:M100,$B91)+SUMIFS('Sep2026'!K3:K100,'Sep2026'!L3:L100,$A91,'Sep2026'!M3:M100,$B91)+SUMIFS('Oct2026'!K3:K100,'Oct2026'!L3:L100,$A91,'Oct2026'!M3:M100,$B91)+SUMIFS('Nov2026'!K3:K100,'Nov2026'!L3:L100,$A91,'Nov2026'!M3:M100,$B91)+SUMIFS('Dec2026'!K3:K100,'Dec2026'!L3:L100,$A91,'Dec2026'!M3:M100,$B91)</f>
        <v/>
      </c>
    </row>
    <row r="92">
      <c r="A92" t="inlineStr">
        <is>
          <t>Buildings &amp; Amenities</t>
        </is>
      </c>
      <c r="B92" t="inlineStr">
        <is>
          <t>Swimming Pool</t>
        </is>
      </c>
      <c r="C92" s="11">
        <f>SUMIFS('Jan2026'!K3:K100,'Jan2026'!L3:L100,$A92,'Jan2026'!M3:M100,$B92)+SUMIFS('Feb2026'!K3:K100,'Feb2026'!L3:L100,$A92,'Feb2026'!M3:M100,$B92)+SUMIFS('Mar2026'!K3:K100,'Mar2026'!L3:L100,$A92,'Mar2026'!M3:M100,$B92)+SUMIFS('Apr2026'!K3:K100,'Apr2026'!L3:L100,$A92,'Apr2026'!M3:M100,$B92)+SUMIFS('May2026'!K3:K100,'May2026'!L3:L100,$A92,'May2026'!M3:M100,$B92)+SUMIFS('Jun2026'!K3:K100,'Jun2026'!L3:L100,$A92,'Jun2026'!M3:M100,$B92)+SUMIFS('Jul2026'!K3:K100,'Jul2026'!L3:L100,$A92,'Jul2026'!M3:M100,$B92)+SUMIFS('Aug2026'!K3:K100,'Aug2026'!L3:L100,$A92,'Aug2026'!M3:M100,$B92)+SUMIFS('Sep2026'!K3:K100,'Sep2026'!L3:L100,$A92,'Sep2026'!M3:M100,$B92)+SUMIFS('Oct2026'!K3:K100,'Oct2026'!L3:L100,$A92,'Oct2026'!M3:M100,$B92)+SUMIFS('Nov2026'!K3:K100,'Nov2026'!L3:L100,$A92,'Nov2026'!M3:M100,$B92)+SUMIFS('Dec2026'!K3:K100,'Dec2026'!L3:L100,$A92,'Dec2026'!M3:M100,$B92)</f>
        <v/>
      </c>
    </row>
    <row r="93">
      <c r="A93" t="inlineStr">
        <is>
          <t>Buildings &amp; Amenities</t>
        </is>
      </c>
      <c r="B93" t="inlineStr">
        <is>
          <t>Gazebo</t>
        </is>
      </c>
      <c r="C93" s="11">
        <f>SUMIFS('Jan2026'!K3:K100,'Jan2026'!L3:L100,$A93,'Jan2026'!M3:M100,$B93)+SUMIFS('Feb2026'!K3:K100,'Feb2026'!L3:L100,$A93,'Feb2026'!M3:M100,$B93)+SUMIFS('Mar2026'!K3:K100,'Mar2026'!L3:L100,$A93,'Mar2026'!M3:M100,$B93)+SUMIFS('Apr2026'!K3:K100,'Apr2026'!L3:L100,$A93,'Apr2026'!M3:M100,$B93)+SUMIFS('May2026'!K3:K100,'May2026'!L3:L100,$A93,'May2026'!M3:M100,$B93)+SUMIFS('Jun2026'!K3:K100,'Jun2026'!L3:L100,$A93,'Jun2026'!M3:M100,$B93)+SUMIFS('Jul2026'!K3:K100,'Jul2026'!L3:L100,$A93,'Jul2026'!M3:M100,$B93)+SUMIFS('Aug2026'!K3:K100,'Aug2026'!L3:L100,$A93,'Aug2026'!M3:M100,$B93)+SUMIFS('Sep2026'!K3:K100,'Sep2026'!L3:L100,$A93,'Sep2026'!M3:M100,$B93)+SUMIFS('Oct2026'!K3:K100,'Oct2026'!L3:L100,$A93,'Oct2026'!M3:M100,$B93)+SUMIFS('Nov2026'!K3:K100,'Nov2026'!L3:L100,$A93,'Nov2026'!M3:M100,$B93)+SUMIFS('Dec2026'!K3:K100,'Dec2026'!L3:L100,$A93,'Dec2026'!M3:M100,$B93)</f>
        <v/>
      </c>
    </row>
    <row r="94">
      <c r="A94" t="inlineStr">
        <is>
          <t>Buildings &amp; Amenities</t>
        </is>
      </c>
      <c r="B94" t="inlineStr">
        <is>
          <t>Children's Play Area</t>
        </is>
      </c>
      <c r="C94" s="11">
        <f>SUMIFS('Jan2026'!K3:K100,'Jan2026'!L3:L100,$A94,'Jan2026'!M3:M100,$B94)+SUMIFS('Feb2026'!K3:K100,'Feb2026'!L3:L100,$A94,'Feb2026'!M3:M100,$B94)+SUMIFS('Mar2026'!K3:K100,'Mar2026'!L3:L100,$A94,'Mar2026'!M3:M100,$B94)+SUMIFS('Apr2026'!K3:K100,'Apr2026'!L3:L100,$A94,'Apr2026'!M3:M100,$B94)+SUMIFS('May2026'!K3:K100,'May2026'!L3:L100,$A94,'May2026'!M3:M100,$B94)+SUMIFS('Jun2026'!K3:K100,'Jun2026'!L3:L100,$A94,'Jun2026'!M3:M100,$B94)+SUMIFS('Jul2026'!K3:K100,'Jul2026'!L3:L100,$A94,'Jul2026'!M3:M100,$B94)+SUMIFS('Aug2026'!K3:K100,'Aug2026'!L3:L100,$A94,'Aug2026'!M3:M100,$B94)+SUMIFS('Sep2026'!K3:K100,'Sep2026'!L3:L100,$A94,'Sep2026'!M3:M100,$B94)+SUMIFS('Oct2026'!K3:K100,'Oct2026'!L3:L100,$A94,'Oct2026'!M3:M100,$B94)+SUMIFS('Nov2026'!K3:K100,'Nov2026'!L3:L100,$A94,'Nov2026'!M3:M100,$B94)+SUMIFS('Dec2026'!K3:K100,'Dec2026'!L3:L100,$A94,'Dec2026'!M3:M100,$B94)</f>
        <v/>
      </c>
    </row>
    <row r="95">
      <c r="A95" t="inlineStr">
        <is>
          <t>Buildings &amp; Amenities</t>
        </is>
      </c>
      <c r="B95" t="inlineStr">
        <is>
          <t>Sports Courts</t>
        </is>
      </c>
      <c r="C95" s="11">
        <f>SUMIFS('Jan2026'!K3:K100,'Jan2026'!L3:L100,$A95,'Jan2026'!M3:M100,$B95)+SUMIFS('Feb2026'!K3:K100,'Feb2026'!L3:L100,$A95,'Feb2026'!M3:M100,$B95)+SUMIFS('Mar2026'!K3:K100,'Mar2026'!L3:L100,$A95,'Mar2026'!M3:M100,$B95)+SUMIFS('Apr2026'!K3:K100,'Apr2026'!L3:L100,$A95,'Apr2026'!M3:M100,$B95)+SUMIFS('May2026'!K3:K100,'May2026'!L3:L100,$A95,'May2026'!M3:M100,$B95)+SUMIFS('Jun2026'!K3:K100,'Jun2026'!L3:L100,$A95,'Jun2026'!M3:M100,$B95)+SUMIFS('Jul2026'!K3:K100,'Jul2026'!L3:L100,$A95,'Jul2026'!M3:M100,$B95)+SUMIFS('Aug2026'!K3:K100,'Aug2026'!L3:L100,$A95,'Aug2026'!M3:M100,$B95)+SUMIFS('Sep2026'!K3:K100,'Sep2026'!L3:L100,$A95,'Sep2026'!M3:M100,$B95)+SUMIFS('Oct2026'!K3:K100,'Oct2026'!L3:L100,$A95,'Oct2026'!M3:M100,$B95)+SUMIFS('Nov2026'!K3:K100,'Nov2026'!L3:L100,$A95,'Nov2026'!M3:M100,$B95)+SUMIFS('Dec2026'!K3:K100,'Dec2026'!L3:L100,$A95,'Dec2026'!M3:M100,$B95)</f>
        <v/>
      </c>
    </row>
    <row r="96">
      <c r="A96" t="inlineStr">
        <is>
          <t>Buildings &amp; Amenities</t>
        </is>
      </c>
      <c r="B96" t="inlineStr">
        <is>
          <t>Toilets</t>
        </is>
      </c>
      <c r="C96" s="11">
        <f>SUMIFS('Jan2026'!K3:K100,'Jan2026'!L3:L100,$A96,'Jan2026'!M3:M100,$B96)+SUMIFS('Feb2026'!K3:K100,'Feb2026'!L3:L100,$A96,'Feb2026'!M3:M100,$B96)+SUMIFS('Mar2026'!K3:K100,'Mar2026'!L3:L100,$A96,'Mar2026'!M3:M100,$B96)+SUMIFS('Apr2026'!K3:K100,'Apr2026'!L3:L100,$A96,'Apr2026'!M3:M100,$B96)+SUMIFS('May2026'!K3:K100,'May2026'!L3:L100,$A96,'May2026'!M3:M100,$B96)+SUMIFS('Jun2026'!K3:K100,'Jun2026'!L3:L100,$A96,'Jun2026'!M3:M100,$B96)+SUMIFS('Jul2026'!K3:K100,'Jul2026'!L3:L100,$A96,'Jul2026'!M3:M100,$B96)+SUMIFS('Aug2026'!K3:K100,'Aug2026'!L3:L100,$A96,'Aug2026'!M3:M100,$B96)+SUMIFS('Sep2026'!K3:K100,'Sep2026'!L3:L100,$A96,'Sep2026'!M3:M100,$B96)+SUMIFS('Oct2026'!K3:K100,'Oct2026'!L3:L100,$A96,'Oct2026'!M3:M100,$B96)+SUMIFS('Nov2026'!K3:K100,'Nov2026'!L3:L100,$A96,'Nov2026'!M3:M100,$B96)+SUMIFS('Dec2026'!K3:K100,'Dec2026'!L3:L100,$A96,'Dec2026'!M3:M100,$B96)</f>
        <v/>
      </c>
    </row>
    <row r="97">
      <c r="A97" t="inlineStr">
        <is>
          <t>Labour &amp; Contractors</t>
        </is>
      </c>
      <c r="B97" t="inlineStr">
        <is>
          <t>Labour Wages</t>
        </is>
      </c>
      <c r="C97" s="11">
        <f>SUMIFS('Jan2026'!K3:K100,'Jan2026'!L3:L100,$A97,'Jan2026'!M3:M100,$B97)+SUMIFS('Feb2026'!K3:K100,'Feb2026'!L3:L100,$A97,'Feb2026'!M3:M100,$B97)+SUMIFS('Mar2026'!K3:K100,'Mar2026'!L3:L100,$A97,'Mar2026'!M3:M100,$B97)+SUMIFS('Apr2026'!K3:K100,'Apr2026'!L3:L100,$A97,'Apr2026'!M3:M100,$B97)+SUMIFS('May2026'!K3:K100,'May2026'!L3:L100,$A97,'May2026'!M3:M100,$B97)+SUMIFS('Jun2026'!K3:K100,'Jun2026'!L3:L100,$A97,'Jun2026'!M3:M100,$B97)+SUMIFS('Jul2026'!K3:K100,'Jul2026'!L3:L100,$A97,'Jul2026'!M3:M100,$B97)+SUMIFS('Aug2026'!K3:K100,'Aug2026'!L3:L100,$A97,'Aug2026'!M3:M100,$B97)+SUMIFS('Sep2026'!K3:K100,'Sep2026'!L3:L100,$A97,'Sep2026'!M3:M100,$B97)+SUMIFS('Oct2026'!K3:K100,'Oct2026'!L3:L100,$A97,'Oct2026'!M3:M100,$B97)+SUMIFS('Nov2026'!K3:K100,'Nov2026'!L3:L100,$A97,'Nov2026'!M3:M100,$B97)+SUMIFS('Dec2026'!K3:K100,'Dec2026'!L3:L100,$A97,'Dec2026'!M3:M100,$B97)</f>
        <v/>
      </c>
    </row>
    <row r="98">
      <c r="A98" t="inlineStr">
        <is>
          <t>Labour &amp; Contractors</t>
        </is>
      </c>
      <c r="B98" t="inlineStr">
        <is>
          <t>Contractor Payments</t>
        </is>
      </c>
      <c r="C98" s="11">
        <f>SUMIFS('Jan2026'!K3:K100,'Jan2026'!L3:L100,$A98,'Jan2026'!M3:M100,$B98)+SUMIFS('Feb2026'!K3:K100,'Feb2026'!L3:L100,$A98,'Feb2026'!M3:M100,$B98)+SUMIFS('Mar2026'!K3:K100,'Mar2026'!L3:L100,$A98,'Mar2026'!M3:M100,$B98)+SUMIFS('Apr2026'!K3:K100,'Apr2026'!L3:L100,$A98,'Apr2026'!M3:M100,$B98)+SUMIFS('May2026'!K3:K100,'May2026'!L3:L100,$A98,'May2026'!M3:M100,$B98)+SUMIFS('Jun2026'!K3:K100,'Jun2026'!L3:L100,$A98,'Jun2026'!M3:M100,$B98)+SUMIFS('Jul2026'!K3:K100,'Jul2026'!L3:L100,$A98,'Jul2026'!M3:M100,$B98)+SUMIFS('Aug2026'!K3:K100,'Aug2026'!L3:L100,$A98,'Aug2026'!M3:M100,$B98)+SUMIFS('Sep2026'!K3:K100,'Sep2026'!L3:L100,$A98,'Sep2026'!M3:M100,$B98)+SUMIFS('Oct2026'!K3:K100,'Oct2026'!L3:L100,$A98,'Oct2026'!M3:M100,$B98)+SUMIFS('Nov2026'!K3:K100,'Nov2026'!L3:L100,$A98,'Nov2026'!M3:M100,$B98)+SUMIFS('Dec2026'!K3:K100,'Dec2026'!L3:L100,$A98,'Dec2026'!M3:M100,$B98)</f>
        <v/>
      </c>
    </row>
    <row r="99">
      <c r="A99" t="inlineStr">
        <is>
          <t>Labour &amp; Contractors</t>
        </is>
      </c>
      <c r="B99" t="inlineStr">
        <is>
          <t>Machinery Hire</t>
        </is>
      </c>
      <c r="C99" s="11">
        <f>SUMIFS('Jan2026'!K3:K100,'Jan2026'!L3:L100,$A99,'Jan2026'!M3:M100,$B99)+SUMIFS('Feb2026'!K3:K100,'Feb2026'!L3:L100,$A99,'Feb2026'!M3:M100,$B99)+SUMIFS('Mar2026'!K3:K100,'Mar2026'!L3:L100,$A99,'Mar2026'!M3:M100,$B99)+SUMIFS('Apr2026'!K3:K100,'Apr2026'!L3:L100,$A99,'Apr2026'!M3:M100,$B99)+SUMIFS('May2026'!K3:K100,'May2026'!L3:L100,$A99,'May2026'!M3:M100,$B99)+SUMIFS('Jun2026'!K3:K100,'Jun2026'!L3:L100,$A99,'Jun2026'!M3:M100,$B99)+SUMIFS('Jul2026'!K3:K100,'Jul2026'!L3:L100,$A99,'Jul2026'!M3:M100,$B99)+SUMIFS('Aug2026'!K3:K100,'Aug2026'!L3:L100,$A99,'Aug2026'!M3:M100,$B99)+SUMIFS('Sep2026'!K3:K100,'Sep2026'!L3:L100,$A99,'Sep2026'!M3:M100,$B99)+SUMIFS('Oct2026'!K3:K100,'Oct2026'!L3:L100,$A99,'Oct2026'!M3:M100,$B99)+SUMIFS('Nov2026'!K3:K100,'Nov2026'!L3:L100,$A99,'Nov2026'!M3:M100,$B99)+SUMIFS('Dec2026'!K3:K100,'Dec2026'!L3:L100,$A99,'Dec2026'!M3:M100,$B99)</f>
        <v/>
      </c>
    </row>
    <row r="100">
      <c r="A100" t="inlineStr">
        <is>
          <t>Labour &amp; Contractors</t>
        </is>
      </c>
      <c r="B100" t="inlineStr">
        <is>
          <t>Excavator/JCB</t>
        </is>
      </c>
      <c r="C100" s="11">
        <f>SUMIFS('Jan2026'!K3:K100,'Jan2026'!L3:L100,$A100,'Jan2026'!M3:M100,$B100)+SUMIFS('Feb2026'!K3:K100,'Feb2026'!L3:L100,$A100,'Feb2026'!M3:M100,$B100)+SUMIFS('Mar2026'!K3:K100,'Mar2026'!L3:L100,$A100,'Mar2026'!M3:M100,$B100)+SUMIFS('Apr2026'!K3:K100,'Apr2026'!L3:L100,$A100,'Apr2026'!M3:M100,$B100)+SUMIFS('May2026'!K3:K100,'May2026'!L3:L100,$A100,'May2026'!M3:M100,$B100)+SUMIFS('Jun2026'!K3:K100,'Jun2026'!L3:L100,$A100,'Jun2026'!M3:M100,$B100)+SUMIFS('Jul2026'!K3:K100,'Jul2026'!L3:L100,$A100,'Jul2026'!M3:M100,$B100)+SUMIFS('Aug2026'!K3:K100,'Aug2026'!L3:L100,$A100,'Aug2026'!M3:M100,$B100)+SUMIFS('Sep2026'!K3:K100,'Sep2026'!L3:L100,$A100,'Sep2026'!M3:M100,$B100)+SUMIFS('Oct2026'!K3:K100,'Oct2026'!L3:L100,$A100,'Oct2026'!M3:M100,$B100)+SUMIFS('Nov2026'!K3:K100,'Nov2026'!L3:L100,$A100,'Nov2026'!M3:M100,$B100)+SUMIFS('Dec2026'!K3:K100,'Dec2026'!L3:L100,$A100,'Dec2026'!M3:M100,$B100)</f>
        <v/>
      </c>
    </row>
    <row r="101">
      <c r="A101" t="inlineStr">
        <is>
          <t>Labour &amp; Contractors</t>
        </is>
      </c>
      <c r="B101" t="inlineStr">
        <is>
          <t>Tractor &amp; Transport</t>
        </is>
      </c>
      <c r="C101" s="11">
        <f>SUMIFS('Jan2026'!K3:K100,'Jan2026'!L3:L100,$A101,'Jan2026'!M3:M100,$B101)+SUMIFS('Feb2026'!K3:K100,'Feb2026'!L3:L100,$A101,'Feb2026'!M3:M100,$B101)+SUMIFS('Mar2026'!K3:K100,'Mar2026'!L3:L100,$A101,'Mar2026'!M3:M100,$B101)+SUMIFS('Apr2026'!K3:K100,'Apr2026'!L3:L100,$A101,'Apr2026'!M3:M100,$B101)+SUMIFS('May2026'!K3:K100,'May2026'!L3:L100,$A101,'May2026'!M3:M100,$B101)+SUMIFS('Jun2026'!K3:K100,'Jun2026'!L3:L100,$A101,'Jun2026'!M3:M100,$B101)+SUMIFS('Jul2026'!K3:K100,'Jul2026'!L3:L100,$A101,'Jul2026'!M3:M100,$B101)+SUMIFS('Aug2026'!K3:K100,'Aug2026'!L3:L100,$A101,'Aug2026'!M3:M100,$B101)+SUMIFS('Sep2026'!K3:K100,'Sep2026'!L3:L100,$A101,'Sep2026'!M3:M100,$B101)+SUMIFS('Oct2026'!K3:K100,'Oct2026'!L3:L100,$A101,'Oct2026'!M3:M100,$B101)+SUMIFS('Nov2026'!K3:K100,'Nov2026'!L3:L100,$A101,'Nov2026'!M3:M100,$B101)+SUMIFS('Dec2026'!K3:K100,'Dec2026'!L3:L100,$A101,'Dec2026'!M3:M100,$B101)</f>
        <v/>
      </c>
    </row>
    <row r="102">
      <c r="A102" t="inlineStr">
        <is>
          <t>Materials</t>
        </is>
      </c>
      <c r="B102" t="inlineStr">
        <is>
          <t>Cement</t>
        </is>
      </c>
      <c r="C102" s="11">
        <f>SUMIFS('Jan2026'!K3:K100,'Jan2026'!L3:L100,$A102,'Jan2026'!M3:M100,$B102)+SUMIFS('Feb2026'!K3:K100,'Feb2026'!L3:L100,$A102,'Feb2026'!M3:M100,$B102)+SUMIFS('Mar2026'!K3:K100,'Mar2026'!L3:L100,$A102,'Mar2026'!M3:M100,$B102)+SUMIFS('Apr2026'!K3:K100,'Apr2026'!L3:L100,$A102,'Apr2026'!M3:M100,$B102)+SUMIFS('May2026'!K3:K100,'May2026'!L3:L100,$A102,'May2026'!M3:M100,$B102)+SUMIFS('Jun2026'!K3:K100,'Jun2026'!L3:L100,$A102,'Jun2026'!M3:M100,$B102)+SUMIFS('Jul2026'!K3:K100,'Jul2026'!L3:L100,$A102,'Jul2026'!M3:M100,$B102)+SUMIFS('Aug2026'!K3:K100,'Aug2026'!L3:L100,$A102,'Aug2026'!M3:M100,$B102)+SUMIFS('Sep2026'!K3:K100,'Sep2026'!L3:L100,$A102,'Sep2026'!M3:M100,$B102)+SUMIFS('Oct2026'!K3:K100,'Oct2026'!L3:L100,$A102,'Oct2026'!M3:M100,$B102)+SUMIFS('Nov2026'!K3:K100,'Nov2026'!L3:L100,$A102,'Nov2026'!M3:M100,$B102)+SUMIFS('Dec2026'!K3:K100,'Dec2026'!L3:L100,$A102,'Dec2026'!M3:M100,$B102)</f>
        <v/>
      </c>
    </row>
    <row r="103">
      <c r="A103" t="inlineStr">
        <is>
          <t>Materials</t>
        </is>
      </c>
      <c r="B103" t="inlineStr">
        <is>
          <t>Sand</t>
        </is>
      </c>
      <c r="C103" s="11">
        <f>SUMIFS('Jan2026'!K3:K100,'Jan2026'!L3:L100,$A103,'Jan2026'!M3:M100,$B103)+SUMIFS('Feb2026'!K3:K100,'Feb2026'!L3:L100,$A103,'Feb2026'!M3:M100,$B103)+SUMIFS('Mar2026'!K3:K100,'Mar2026'!L3:L100,$A103,'Mar2026'!M3:M100,$B103)+SUMIFS('Apr2026'!K3:K100,'Apr2026'!L3:L100,$A103,'Apr2026'!M3:M100,$B103)+SUMIFS('May2026'!K3:K100,'May2026'!L3:L100,$A103,'May2026'!M3:M100,$B103)+SUMIFS('Jun2026'!K3:K100,'Jun2026'!L3:L100,$A103,'Jun2026'!M3:M100,$B103)+SUMIFS('Jul2026'!K3:K100,'Jul2026'!L3:L100,$A103,'Jul2026'!M3:M100,$B103)+SUMIFS('Aug2026'!K3:K100,'Aug2026'!L3:L100,$A103,'Aug2026'!M3:M100,$B103)+SUMIFS('Sep2026'!K3:K100,'Sep2026'!L3:L100,$A103,'Sep2026'!M3:M100,$B103)+SUMIFS('Oct2026'!K3:K100,'Oct2026'!L3:L100,$A103,'Oct2026'!M3:M100,$B103)+SUMIFS('Nov2026'!K3:K100,'Nov2026'!L3:L100,$A103,'Nov2026'!M3:M100,$B103)+SUMIFS('Dec2026'!K3:K100,'Dec2026'!L3:L100,$A103,'Dec2026'!M3:M100,$B103)</f>
        <v/>
      </c>
    </row>
    <row r="104">
      <c r="A104" t="inlineStr">
        <is>
          <t>Materials</t>
        </is>
      </c>
      <c r="B104" t="inlineStr">
        <is>
          <t>Metal</t>
        </is>
      </c>
      <c r="C104" s="11">
        <f>SUMIFS('Jan2026'!K3:K100,'Jan2026'!L3:L100,$A104,'Jan2026'!M3:M100,$B104)+SUMIFS('Feb2026'!K3:K100,'Feb2026'!L3:L100,$A104,'Feb2026'!M3:M100,$B104)+SUMIFS('Mar2026'!K3:K100,'Mar2026'!L3:L100,$A104,'Mar2026'!M3:M100,$B104)+SUMIFS('Apr2026'!K3:K100,'Apr2026'!L3:L100,$A104,'Apr2026'!M3:M100,$B104)+SUMIFS('May2026'!K3:K100,'May2026'!L3:L100,$A104,'May2026'!M3:M100,$B104)+SUMIFS('Jun2026'!K3:K100,'Jun2026'!L3:L100,$A104,'Jun2026'!M3:M100,$B104)+SUMIFS('Jul2026'!K3:K100,'Jul2026'!L3:L100,$A104,'Jul2026'!M3:M100,$B104)+SUMIFS('Aug2026'!K3:K100,'Aug2026'!L3:L100,$A104,'Aug2026'!M3:M100,$B104)+SUMIFS('Sep2026'!K3:K100,'Sep2026'!L3:L100,$A104,'Sep2026'!M3:M100,$B104)+SUMIFS('Oct2026'!K3:K100,'Oct2026'!L3:L100,$A104,'Oct2026'!M3:M100,$B104)+SUMIFS('Nov2026'!K3:K100,'Nov2026'!L3:L100,$A104,'Nov2026'!M3:M100,$B104)+SUMIFS('Dec2026'!K3:K100,'Dec2026'!L3:L100,$A104,'Dec2026'!M3:M100,$B104)</f>
        <v/>
      </c>
    </row>
    <row r="105">
      <c r="A105" t="inlineStr">
        <is>
          <t>Materials</t>
        </is>
      </c>
      <c r="B105" t="inlineStr">
        <is>
          <t>Bricks</t>
        </is>
      </c>
      <c r="C105" s="11">
        <f>SUMIFS('Jan2026'!K3:K100,'Jan2026'!L3:L100,$A105,'Jan2026'!M3:M100,$B105)+SUMIFS('Feb2026'!K3:K100,'Feb2026'!L3:L100,$A105,'Feb2026'!M3:M100,$B105)+SUMIFS('Mar2026'!K3:K100,'Mar2026'!L3:L100,$A105,'Mar2026'!M3:M100,$B105)+SUMIFS('Apr2026'!K3:K100,'Apr2026'!L3:L100,$A105,'Apr2026'!M3:M100,$B105)+SUMIFS('May2026'!K3:K100,'May2026'!L3:L100,$A105,'May2026'!M3:M100,$B105)+SUMIFS('Jun2026'!K3:K100,'Jun2026'!L3:L100,$A105,'Jun2026'!M3:M100,$B105)+SUMIFS('Jul2026'!K3:K100,'Jul2026'!L3:L100,$A105,'Jul2026'!M3:M100,$B105)+SUMIFS('Aug2026'!K3:K100,'Aug2026'!L3:L100,$A105,'Aug2026'!M3:M100,$B105)+SUMIFS('Sep2026'!K3:K100,'Sep2026'!L3:L100,$A105,'Sep2026'!M3:M100,$B105)+SUMIFS('Oct2026'!K3:K100,'Oct2026'!L3:L100,$A105,'Oct2026'!M3:M100,$B105)+SUMIFS('Nov2026'!K3:K100,'Nov2026'!L3:L100,$A105,'Nov2026'!M3:M100,$B105)+SUMIFS('Dec2026'!K3:K100,'Dec2026'!L3:L100,$A105,'Dec2026'!M3:M100,$B105)</f>
        <v/>
      </c>
    </row>
    <row r="106">
      <c r="A106" t="inlineStr">
        <is>
          <t>Materials</t>
        </is>
      </c>
      <c r="B106" t="inlineStr">
        <is>
          <t>Steel</t>
        </is>
      </c>
      <c r="C106" s="11">
        <f>SUMIFS('Jan2026'!K3:K100,'Jan2026'!L3:L100,$A106,'Jan2026'!M3:M100,$B106)+SUMIFS('Feb2026'!K3:K100,'Feb2026'!L3:L100,$A106,'Feb2026'!M3:M100,$B106)+SUMIFS('Mar2026'!K3:K100,'Mar2026'!L3:L100,$A106,'Mar2026'!M3:M100,$B106)+SUMIFS('Apr2026'!K3:K100,'Apr2026'!L3:L100,$A106,'Apr2026'!M3:M100,$B106)+SUMIFS('May2026'!K3:K100,'May2026'!L3:L100,$A106,'May2026'!M3:M100,$B106)+SUMIFS('Jun2026'!K3:K100,'Jun2026'!L3:L100,$A106,'Jun2026'!M3:M100,$B106)+SUMIFS('Jul2026'!K3:K100,'Jul2026'!L3:L100,$A106,'Jul2026'!M3:M100,$B106)+SUMIFS('Aug2026'!K3:K100,'Aug2026'!L3:L100,$A106,'Aug2026'!M3:M100,$B106)+SUMIFS('Sep2026'!K3:K100,'Sep2026'!L3:L100,$A106,'Sep2026'!M3:M100,$B106)+SUMIFS('Oct2026'!K3:K100,'Oct2026'!L3:L100,$A106,'Oct2026'!M3:M100,$B106)+SUMIFS('Nov2026'!K3:K100,'Nov2026'!L3:L100,$A106,'Nov2026'!M3:M100,$B106)+SUMIFS('Dec2026'!K3:K100,'Dec2026'!L3:L100,$A106,'Dec2026'!M3:M100,$B106)</f>
        <v/>
      </c>
    </row>
    <row r="107">
      <c r="A107" t="inlineStr">
        <is>
          <t>Materials</t>
        </is>
      </c>
      <c r="B107" t="inlineStr">
        <is>
          <t>Pipes</t>
        </is>
      </c>
      <c r="C107" s="11">
        <f>SUMIFS('Jan2026'!K3:K100,'Jan2026'!L3:L100,$A107,'Jan2026'!M3:M100,$B107)+SUMIFS('Feb2026'!K3:K100,'Feb2026'!L3:L100,$A107,'Feb2026'!M3:M100,$B107)+SUMIFS('Mar2026'!K3:K100,'Mar2026'!L3:L100,$A107,'Mar2026'!M3:M100,$B107)+SUMIFS('Apr2026'!K3:K100,'Apr2026'!L3:L100,$A107,'Apr2026'!M3:M100,$B107)+SUMIFS('May2026'!K3:K100,'May2026'!L3:L100,$A107,'May2026'!M3:M100,$B107)+SUMIFS('Jun2026'!K3:K100,'Jun2026'!L3:L100,$A107,'Jun2026'!M3:M100,$B107)+SUMIFS('Jul2026'!K3:K100,'Jul2026'!L3:L100,$A107,'Jul2026'!M3:M100,$B107)+SUMIFS('Aug2026'!K3:K100,'Aug2026'!L3:L100,$A107,'Aug2026'!M3:M100,$B107)+SUMIFS('Sep2026'!K3:K100,'Sep2026'!L3:L100,$A107,'Sep2026'!M3:M100,$B107)+SUMIFS('Oct2026'!K3:K100,'Oct2026'!L3:L100,$A107,'Oct2026'!M3:M100,$B107)+SUMIFS('Nov2026'!K3:K100,'Nov2026'!L3:L100,$A107,'Nov2026'!M3:M100,$B107)+SUMIFS('Dec2026'!K3:K100,'Dec2026'!L3:L100,$A107,'Dec2026'!M3:M100,$B107)</f>
        <v/>
      </c>
    </row>
    <row r="108">
      <c r="A108" t="inlineStr">
        <is>
          <t>Materials</t>
        </is>
      </c>
      <c r="B108" t="inlineStr">
        <is>
          <t>Electrical Materials</t>
        </is>
      </c>
      <c r="C108" s="11">
        <f>SUMIFS('Jan2026'!K3:K100,'Jan2026'!L3:L100,$A108,'Jan2026'!M3:M100,$B108)+SUMIFS('Feb2026'!K3:K100,'Feb2026'!L3:L100,$A108,'Feb2026'!M3:M100,$B108)+SUMIFS('Mar2026'!K3:K100,'Mar2026'!L3:L100,$A108,'Mar2026'!M3:M100,$B108)+SUMIFS('Apr2026'!K3:K100,'Apr2026'!L3:L100,$A108,'Apr2026'!M3:M100,$B108)+SUMIFS('May2026'!K3:K100,'May2026'!L3:L100,$A108,'May2026'!M3:M100,$B108)+SUMIFS('Jun2026'!K3:K100,'Jun2026'!L3:L100,$A108,'Jun2026'!M3:M100,$B108)+SUMIFS('Jul2026'!K3:K100,'Jul2026'!L3:L100,$A108,'Jul2026'!M3:M100,$B108)+SUMIFS('Aug2026'!K3:K100,'Aug2026'!L3:L100,$A108,'Aug2026'!M3:M100,$B108)+SUMIFS('Sep2026'!K3:K100,'Sep2026'!L3:L100,$A108,'Sep2026'!M3:M100,$B108)+SUMIFS('Oct2026'!K3:K100,'Oct2026'!L3:L100,$A108,'Oct2026'!M3:M100,$B108)+SUMIFS('Nov2026'!K3:K100,'Nov2026'!L3:L100,$A108,'Nov2026'!M3:M100,$B108)+SUMIFS('Dec2026'!K3:K100,'Dec2026'!L3:L100,$A108,'Dec2026'!M3:M100,$B108)</f>
        <v/>
      </c>
    </row>
    <row r="109">
      <c r="A109" t="inlineStr">
        <is>
          <t>Materials</t>
        </is>
      </c>
      <c r="B109" t="inlineStr">
        <is>
          <t>Paint</t>
        </is>
      </c>
      <c r="C109" s="11">
        <f>SUMIFS('Jan2026'!K3:K100,'Jan2026'!L3:L100,$A109,'Jan2026'!M3:M100,$B109)+SUMIFS('Feb2026'!K3:K100,'Feb2026'!L3:L100,$A109,'Feb2026'!M3:M100,$B109)+SUMIFS('Mar2026'!K3:K100,'Mar2026'!L3:L100,$A109,'Mar2026'!M3:M100,$B109)+SUMIFS('Apr2026'!K3:K100,'Apr2026'!L3:L100,$A109,'Apr2026'!M3:M100,$B109)+SUMIFS('May2026'!K3:K100,'May2026'!L3:L100,$A109,'May2026'!M3:M100,$B109)+SUMIFS('Jun2026'!K3:K100,'Jun2026'!L3:L100,$A109,'Jun2026'!M3:M100,$B109)+SUMIFS('Jul2026'!K3:K100,'Jul2026'!L3:L100,$A109,'Jul2026'!M3:M100,$B109)+SUMIFS('Aug2026'!K3:K100,'Aug2026'!L3:L100,$A109,'Aug2026'!M3:M100,$B109)+SUMIFS('Sep2026'!K3:K100,'Sep2026'!L3:L100,$A109,'Sep2026'!M3:M100,$B109)+SUMIFS('Oct2026'!K3:K100,'Oct2026'!L3:L100,$A109,'Oct2026'!M3:M100,$B109)+SUMIFS('Nov2026'!K3:K100,'Nov2026'!L3:L100,$A109,'Nov2026'!M3:M100,$B109)+SUMIFS('Dec2026'!K3:K100,'Dec2026'!L3:L100,$A109,'Dec2026'!M3:M100,$B109)</f>
        <v/>
      </c>
    </row>
    <row r="110">
      <c r="A110" t="inlineStr">
        <is>
          <t>Materials</t>
        </is>
      </c>
      <c r="B110" t="inlineStr">
        <is>
          <t>Tiles</t>
        </is>
      </c>
      <c r="C110" s="11">
        <f>SUMIFS('Jan2026'!K3:K100,'Jan2026'!L3:L100,$A110,'Jan2026'!M3:M100,$B110)+SUMIFS('Feb2026'!K3:K100,'Feb2026'!L3:L100,$A110,'Feb2026'!M3:M100,$B110)+SUMIFS('Mar2026'!K3:K100,'Mar2026'!L3:L100,$A110,'Mar2026'!M3:M100,$B110)+SUMIFS('Apr2026'!K3:K100,'Apr2026'!L3:L100,$A110,'Apr2026'!M3:M100,$B110)+SUMIFS('May2026'!K3:K100,'May2026'!L3:L100,$A110,'May2026'!M3:M100,$B110)+SUMIFS('Jun2026'!K3:K100,'Jun2026'!L3:L100,$A110,'Jun2026'!M3:M100,$B110)+SUMIFS('Jul2026'!K3:K100,'Jul2026'!L3:L100,$A110,'Jul2026'!M3:M100,$B110)+SUMIFS('Aug2026'!K3:K100,'Aug2026'!L3:L100,$A110,'Aug2026'!M3:M100,$B110)+SUMIFS('Sep2026'!K3:K100,'Sep2026'!L3:L100,$A110,'Sep2026'!M3:M100,$B110)+SUMIFS('Oct2026'!K3:K100,'Oct2026'!L3:L100,$A110,'Oct2026'!M3:M100,$B110)+SUMIFS('Nov2026'!K3:K100,'Nov2026'!L3:L100,$A110,'Nov2026'!M3:M100,$B110)+SUMIFS('Dec2026'!K3:K100,'Dec2026'!L3:L100,$A110,'Dec2026'!M3:M100,$B110)</f>
        <v/>
      </c>
    </row>
    <row r="111">
      <c r="A111" t="inlineStr">
        <is>
          <t>Operations</t>
        </is>
      </c>
      <c r="B111" t="inlineStr">
        <is>
          <t>Security</t>
        </is>
      </c>
      <c r="C111" s="11">
        <f>SUMIFS('Jan2026'!K3:K100,'Jan2026'!L3:L100,$A111,'Jan2026'!M3:M100,$B111)+SUMIFS('Feb2026'!K3:K100,'Feb2026'!L3:L100,$A111,'Feb2026'!M3:M100,$B111)+SUMIFS('Mar2026'!K3:K100,'Mar2026'!L3:L100,$A111,'Mar2026'!M3:M100,$B111)+SUMIFS('Apr2026'!K3:K100,'Apr2026'!L3:L100,$A111,'Apr2026'!M3:M100,$B111)+SUMIFS('May2026'!K3:K100,'May2026'!L3:L100,$A111,'May2026'!M3:M100,$B111)+SUMIFS('Jun2026'!K3:K100,'Jun2026'!L3:L100,$A111,'Jun2026'!M3:M100,$B111)+SUMIFS('Jul2026'!K3:K100,'Jul2026'!L3:L100,$A111,'Jul2026'!M3:M100,$B111)+SUMIFS('Aug2026'!K3:K100,'Aug2026'!L3:L100,$A111,'Aug2026'!M3:M100,$B111)+SUMIFS('Sep2026'!K3:K100,'Sep2026'!L3:L100,$A111,'Sep2026'!M3:M100,$B111)+SUMIFS('Oct2026'!K3:K100,'Oct2026'!L3:L100,$A111,'Oct2026'!M3:M100,$B111)+SUMIFS('Nov2026'!K3:K100,'Nov2026'!L3:L100,$A111,'Nov2026'!M3:M100,$B111)+SUMIFS('Dec2026'!K3:K100,'Dec2026'!L3:L100,$A111,'Dec2026'!M3:M100,$B111)</f>
        <v/>
      </c>
    </row>
    <row r="112">
      <c r="A112" t="inlineStr">
        <is>
          <t>Operations</t>
        </is>
      </c>
      <c r="B112" t="inlineStr">
        <is>
          <t>Housekeeping</t>
        </is>
      </c>
      <c r="C112" s="11">
        <f>SUMIFS('Jan2026'!K3:K100,'Jan2026'!L3:L100,$A112,'Jan2026'!M3:M100,$B112)+SUMIFS('Feb2026'!K3:K100,'Feb2026'!L3:L100,$A112,'Feb2026'!M3:M100,$B112)+SUMIFS('Mar2026'!K3:K100,'Mar2026'!L3:L100,$A112,'Mar2026'!M3:M100,$B112)+SUMIFS('Apr2026'!K3:K100,'Apr2026'!L3:L100,$A112,'Apr2026'!M3:M100,$B112)+SUMIFS('May2026'!K3:K100,'May2026'!L3:L100,$A112,'May2026'!M3:M100,$B112)+SUMIFS('Jun2026'!K3:K100,'Jun2026'!L3:L100,$A112,'Jun2026'!M3:M100,$B112)+SUMIFS('Jul2026'!K3:K100,'Jul2026'!L3:L100,$A112,'Jul2026'!M3:M100,$B112)+SUMIFS('Aug2026'!K3:K100,'Aug2026'!L3:L100,$A112,'Aug2026'!M3:M100,$B112)+SUMIFS('Sep2026'!K3:K100,'Sep2026'!L3:L100,$A112,'Sep2026'!M3:M100,$B112)+SUMIFS('Oct2026'!K3:K100,'Oct2026'!L3:L100,$A112,'Oct2026'!M3:M100,$B112)+SUMIFS('Nov2026'!K3:K100,'Nov2026'!L3:L100,$A112,'Nov2026'!M3:M100,$B112)+SUMIFS('Dec2026'!K3:K100,'Dec2026'!L3:L100,$A112,'Dec2026'!M3:M100,$B112)</f>
        <v/>
      </c>
    </row>
    <row r="113">
      <c r="A113" t="inlineStr">
        <is>
          <t>Operations</t>
        </is>
      </c>
      <c r="B113" t="inlineStr">
        <is>
          <t>Fuel &amp; Diesel</t>
        </is>
      </c>
      <c r="C113" s="11">
        <f>SUMIFS('Jan2026'!K3:K100,'Jan2026'!L3:L100,$A113,'Jan2026'!M3:M100,$B113)+SUMIFS('Feb2026'!K3:K100,'Feb2026'!L3:L100,$A113,'Feb2026'!M3:M100,$B113)+SUMIFS('Mar2026'!K3:K100,'Mar2026'!L3:L100,$A113,'Mar2026'!M3:M100,$B113)+SUMIFS('Apr2026'!K3:K100,'Apr2026'!L3:L100,$A113,'Apr2026'!M3:M100,$B113)+SUMIFS('May2026'!K3:K100,'May2026'!L3:L100,$A113,'May2026'!M3:M100,$B113)+SUMIFS('Jun2026'!K3:K100,'Jun2026'!L3:L100,$A113,'Jun2026'!M3:M100,$B113)+SUMIFS('Jul2026'!K3:K100,'Jul2026'!L3:L100,$A113,'Jul2026'!M3:M100,$B113)+SUMIFS('Aug2026'!K3:K100,'Aug2026'!L3:L100,$A113,'Aug2026'!M3:M100,$B113)+SUMIFS('Sep2026'!K3:K100,'Sep2026'!L3:L100,$A113,'Sep2026'!M3:M100,$B113)+SUMIFS('Oct2026'!K3:K100,'Oct2026'!L3:L100,$A113,'Oct2026'!M3:M100,$B113)+SUMIFS('Nov2026'!K3:K100,'Nov2026'!L3:L100,$A113,'Nov2026'!M3:M100,$B113)+SUMIFS('Dec2026'!K3:K100,'Dec2026'!L3:L100,$A113,'Dec2026'!M3:M100,$B113)</f>
        <v/>
      </c>
    </row>
    <row r="114">
      <c r="A114" t="inlineStr">
        <is>
          <t>Operations</t>
        </is>
      </c>
      <c r="B114" t="inlineStr">
        <is>
          <t>Vehicle Expenses</t>
        </is>
      </c>
      <c r="C114" s="11">
        <f>SUMIFS('Jan2026'!K3:K100,'Jan2026'!L3:L100,$A114,'Jan2026'!M3:M100,$B114)+SUMIFS('Feb2026'!K3:K100,'Feb2026'!L3:L100,$A114,'Feb2026'!M3:M100,$B114)+SUMIFS('Mar2026'!K3:K100,'Mar2026'!L3:L100,$A114,'Mar2026'!M3:M100,$B114)+SUMIFS('Apr2026'!K3:K100,'Apr2026'!L3:L100,$A114,'Apr2026'!M3:M100,$B114)+SUMIFS('May2026'!K3:K100,'May2026'!L3:L100,$A114,'May2026'!M3:M100,$B114)+SUMIFS('Jun2026'!K3:K100,'Jun2026'!L3:L100,$A114,'Jun2026'!M3:M100,$B114)+SUMIFS('Jul2026'!K3:K100,'Jul2026'!L3:L100,$A114,'Jul2026'!M3:M100,$B114)+SUMIFS('Aug2026'!K3:K100,'Aug2026'!L3:L100,$A114,'Aug2026'!M3:M100,$B114)+SUMIFS('Sep2026'!K3:K100,'Sep2026'!L3:L100,$A114,'Sep2026'!M3:M100,$B114)+SUMIFS('Oct2026'!K3:K100,'Oct2026'!L3:L100,$A114,'Oct2026'!M3:M100,$B114)+SUMIFS('Nov2026'!K3:K100,'Nov2026'!L3:L100,$A114,'Nov2026'!M3:M100,$B114)+SUMIFS('Dec2026'!K3:K100,'Dec2026'!L3:L100,$A114,'Dec2026'!M3:M100,$B114)</f>
        <v/>
      </c>
    </row>
    <row r="115">
      <c r="A115" t="inlineStr">
        <is>
          <t>Operations</t>
        </is>
      </c>
      <c r="B115" t="inlineStr">
        <is>
          <t>Repairs &amp; Maintenance</t>
        </is>
      </c>
      <c r="C115" s="11">
        <f>SUMIFS('Jan2026'!K3:K100,'Jan2026'!L3:L100,$A115,'Jan2026'!M3:M100,$B115)+SUMIFS('Feb2026'!K3:K100,'Feb2026'!L3:L100,$A115,'Feb2026'!M3:M100,$B115)+SUMIFS('Mar2026'!K3:K100,'Mar2026'!L3:L100,$A115,'Mar2026'!M3:M100,$B115)+SUMIFS('Apr2026'!K3:K100,'Apr2026'!L3:L100,$A115,'Apr2026'!M3:M100,$B115)+SUMIFS('May2026'!K3:K100,'May2026'!L3:L100,$A115,'May2026'!M3:M100,$B115)+SUMIFS('Jun2026'!K3:K100,'Jun2026'!L3:L100,$A115,'Jun2026'!M3:M100,$B115)+SUMIFS('Jul2026'!K3:K100,'Jul2026'!L3:L100,$A115,'Jul2026'!M3:M100,$B115)+SUMIFS('Aug2026'!K3:K100,'Aug2026'!L3:L100,$A115,'Aug2026'!M3:M100,$B115)+SUMIFS('Sep2026'!K3:K100,'Sep2026'!L3:L100,$A115,'Sep2026'!M3:M100,$B115)+SUMIFS('Oct2026'!K3:K100,'Oct2026'!L3:L100,$A115,'Oct2026'!M3:M100,$B115)+SUMIFS('Nov2026'!K3:K100,'Nov2026'!L3:L100,$A115,'Nov2026'!M3:M100,$B115)+SUMIFS('Dec2026'!K3:K100,'Dec2026'!L3:L100,$A115,'Dec2026'!M3:M100,$B115)</f>
        <v/>
      </c>
    </row>
    <row r="116">
      <c r="A116" t="inlineStr">
        <is>
          <t>Operations</t>
        </is>
      </c>
      <c r="B116" t="inlineStr">
        <is>
          <t>Office Expenses</t>
        </is>
      </c>
      <c r="C116" s="11">
        <f>SUMIFS('Jan2026'!K3:K100,'Jan2026'!L3:L100,$A116,'Jan2026'!M3:M100,$B116)+SUMIFS('Feb2026'!K3:K100,'Feb2026'!L3:L100,$A116,'Feb2026'!M3:M100,$B116)+SUMIFS('Mar2026'!K3:K100,'Mar2026'!L3:L100,$A116,'Mar2026'!M3:M100,$B116)+SUMIFS('Apr2026'!K3:K100,'Apr2026'!L3:L100,$A116,'Apr2026'!M3:M100,$B116)+SUMIFS('May2026'!K3:K100,'May2026'!L3:L100,$A116,'May2026'!M3:M100,$B116)+SUMIFS('Jun2026'!K3:K100,'Jun2026'!L3:L100,$A116,'Jun2026'!M3:M100,$B116)+SUMIFS('Jul2026'!K3:K100,'Jul2026'!L3:L100,$A116,'Jul2026'!M3:M100,$B116)+SUMIFS('Aug2026'!K3:K100,'Aug2026'!L3:L100,$A116,'Aug2026'!M3:M100,$B116)+SUMIFS('Sep2026'!K3:K100,'Sep2026'!L3:L100,$A116,'Sep2026'!M3:M100,$B116)+SUMIFS('Oct2026'!K3:K100,'Oct2026'!L3:L100,$A116,'Oct2026'!M3:M100,$B116)+SUMIFS('Nov2026'!K3:K100,'Nov2026'!L3:L100,$A116,'Nov2026'!M3:M100,$B116)+SUMIFS('Dec2026'!K3:K100,'Dec2026'!L3:L100,$A116,'Dec2026'!M3:M100,$B116)</f>
        <v/>
      </c>
    </row>
    <row r="117">
      <c r="A117" t="inlineStr">
        <is>
          <t>Operations</t>
        </is>
      </c>
      <c r="B117" t="inlineStr">
        <is>
          <t>Internet &amp; Phone</t>
        </is>
      </c>
      <c r="C117" s="11">
        <f>SUMIFS('Jan2026'!K3:K100,'Jan2026'!L3:L100,$A117,'Jan2026'!M3:M100,$B117)+SUMIFS('Feb2026'!K3:K100,'Feb2026'!L3:L100,$A117,'Feb2026'!M3:M100,$B117)+SUMIFS('Mar2026'!K3:K100,'Mar2026'!L3:L100,$A117,'Mar2026'!M3:M100,$B117)+SUMIFS('Apr2026'!K3:K100,'Apr2026'!L3:L100,$A117,'Apr2026'!M3:M100,$B117)+SUMIFS('May2026'!K3:K100,'May2026'!L3:L100,$A117,'May2026'!M3:M100,$B117)+SUMIFS('Jun2026'!K3:K100,'Jun2026'!L3:L100,$A117,'Jun2026'!M3:M100,$B117)+SUMIFS('Jul2026'!K3:K100,'Jul2026'!L3:L100,$A117,'Jul2026'!M3:M100,$B117)+SUMIFS('Aug2026'!K3:K100,'Aug2026'!L3:L100,$A117,'Aug2026'!M3:M100,$B117)+SUMIFS('Sep2026'!K3:K100,'Sep2026'!L3:L100,$A117,'Sep2026'!M3:M100,$B117)+SUMIFS('Oct2026'!K3:K100,'Oct2026'!L3:L100,$A117,'Oct2026'!M3:M100,$B117)+SUMIFS('Nov2026'!K3:K100,'Nov2026'!L3:L100,$A117,'Nov2026'!M3:M100,$B117)+SUMIFS('Dec2026'!K3:K100,'Dec2026'!L3:L100,$A117,'Dec2026'!M3:M100,$B117)</f>
        <v/>
      </c>
    </row>
    <row r="118">
      <c r="A118" t="inlineStr">
        <is>
          <t>Marketing &amp; Sales</t>
        </is>
      </c>
      <c r="B118" t="inlineStr">
        <is>
          <t>Advertisement</t>
        </is>
      </c>
      <c r="C118" s="11">
        <f>SUMIFS('Jan2026'!K3:K100,'Jan2026'!L3:L100,$A118,'Jan2026'!M3:M100,$B118)+SUMIFS('Feb2026'!K3:K100,'Feb2026'!L3:L100,$A118,'Feb2026'!M3:M100,$B118)+SUMIFS('Mar2026'!K3:K100,'Mar2026'!L3:L100,$A118,'Mar2026'!M3:M100,$B118)+SUMIFS('Apr2026'!K3:K100,'Apr2026'!L3:L100,$A118,'Apr2026'!M3:M100,$B118)+SUMIFS('May2026'!K3:K100,'May2026'!L3:L100,$A118,'May2026'!M3:M100,$B118)+SUMIFS('Jun2026'!K3:K100,'Jun2026'!L3:L100,$A118,'Jun2026'!M3:M100,$B118)+SUMIFS('Jul2026'!K3:K100,'Jul2026'!L3:L100,$A118,'Jul2026'!M3:M100,$B118)+SUMIFS('Aug2026'!K3:K100,'Aug2026'!L3:L100,$A118,'Aug2026'!M3:M100,$B118)+SUMIFS('Sep2026'!K3:K100,'Sep2026'!L3:L100,$A118,'Sep2026'!M3:M100,$B118)+SUMIFS('Oct2026'!K3:K100,'Oct2026'!L3:L100,$A118,'Oct2026'!M3:M100,$B118)+SUMIFS('Nov2026'!K3:K100,'Nov2026'!L3:L100,$A118,'Nov2026'!M3:M100,$B118)+SUMIFS('Dec2026'!K3:K100,'Dec2026'!L3:L100,$A118,'Dec2026'!M3:M100,$B118)</f>
        <v/>
      </c>
    </row>
    <row r="119">
      <c r="A119" t="inlineStr">
        <is>
          <t>Marketing &amp; Sales</t>
        </is>
      </c>
      <c r="B119" t="inlineStr">
        <is>
          <t>Flex Boards</t>
        </is>
      </c>
      <c r="C119" s="11">
        <f>SUMIFS('Jan2026'!K3:K100,'Jan2026'!L3:L100,$A119,'Jan2026'!M3:M100,$B119)+SUMIFS('Feb2026'!K3:K100,'Feb2026'!L3:L100,$A119,'Feb2026'!M3:M100,$B119)+SUMIFS('Mar2026'!K3:K100,'Mar2026'!L3:L100,$A119,'Mar2026'!M3:M100,$B119)+SUMIFS('Apr2026'!K3:K100,'Apr2026'!L3:L100,$A119,'Apr2026'!M3:M100,$B119)+SUMIFS('May2026'!K3:K100,'May2026'!L3:L100,$A119,'May2026'!M3:M100,$B119)+SUMIFS('Jun2026'!K3:K100,'Jun2026'!L3:L100,$A119,'Jun2026'!M3:M100,$B119)+SUMIFS('Jul2026'!K3:K100,'Jul2026'!L3:L100,$A119,'Jul2026'!M3:M100,$B119)+SUMIFS('Aug2026'!K3:K100,'Aug2026'!L3:L100,$A119,'Aug2026'!M3:M100,$B119)+SUMIFS('Sep2026'!K3:K100,'Sep2026'!L3:L100,$A119,'Sep2026'!M3:M100,$B119)+SUMIFS('Oct2026'!K3:K100,'Oct2026'!L3:L100,$A119,'Oct2026'!M3:M100,$B119)+SUMIFS('Nov2026'!K3:K100,'Nov2026'!L3:L100,$A119,'Nov2026'!M3:M100,$B119)+SUMIFS('Dec2026'!K3:K100,'Dec2026'!L3:L100,$A119,'Dec2026'!M3:M100,$B119)</f>
        <v/>
      </c>
    </row>
    <row r="120">
      <c r="A120" t="inlineStr">
        <is>
          <t>Marketing &amp; Sales</t>
        </is>
      </c>
      <c r="B120" t="inlineStr">
        <is>
          <t>Brochures</t>
        </is>
      </c>
      <c r="C120" s="11">
        <f>SUMIFS('Jan2026'!K3:K100,'Jan2026'!L3:L100,$A120,'Jan2026'!M3:M100,$B120)+SUMIFS('Feb2026'!K3:K100,'Feb2026'!L3:L100,$A120,'Feb2026'!M3:M100,$B120)+SUMIFS('Mar2026'!K3:K100,'Mar2026'!L3:L100,$A120,'Mar2026'!M3:M100,$B120)+SUMIFS('Apr2026'!K3:K100,'Apr2026'!L3:L100,$A120,'Apr2026'!M3:M100,$B120)+SUMIFS('May2026'!K3:K100,'May2026'!L3:L100,$A120,'May2026'!M3:M100,$B120)+SUMIFS('Jun2026'!K3:K100,'Jun2026'!L3:L100,$A120,'Jun2026'!M3:M100,$B120)+SUMIFS('Jul2026'!K3:K100,'Jul2026'!L3:L100,$A120,'Jul2026'!M3:M100,$B120)+SUMIFS('Aug2026'!K3:K100,'Aug2026'!L3:L100,$A120,'Aug2026'!M3:M100,$B120)+SUMIFS('Sep2026'!K3:K100,'Sep2026'!L3:L100,$A120,'Sep2026'!M3:M100,$B120)+SUMIFS('Oct2026'!K3:K100,'Oct2026'!L3:L100,$A120,'Oct2026'!M3:M100,$B120)+SUMIFS('Nov2026'!K3:K100,'Nov2026'!L3:L100,$A120,'Nov2026'!M3:M100,$B120)+SUMIFS('Dec2026'!K3:K100,'Dec2026'!L3:L100,$A120,'Dec2026'!M3:M100,$B120)</f>
        <v/>
      </c>
    </row>
    <row r="121">
      <c r="A121" t="inlineStr">
        <is>
          <t>Marketing &amp; Sales</t>
        </is>
      </c>
      <c r="B121" t="inlineStr">
        <is>
          <t>Events</t>
        </is>
      </c>
      <c r="C121" s="11">
        <f>SUMIFS('Jan2026'!K3:K100,'Jan2026'!L3:L100,$A121,'Jan2026'!M3:M100,$B121)+SUMIFS('Feb2026'!K3:K100,'Feb2026'!L3:L100,$A121,'Feb2026'!M3:M100,$B121)+SUMIFS('Mar2026'!K3:K100,'Mar2026'!L3:L100,$A121,'Mar2026'!M3:M100,$B121)+SUMIFS('Apr2026'!K3:K100,'Apr2026'!L3:L100,$A121,'Apr2026'!M3:M100,$B121)+SUMIFS('May2026'!K3:K100,'May2026'!L3:L100,$A121,'May2026'!M3:M100,$B121)+SUMIFS('Jun2026'!K3:K100,'Jun2026'!L3:L100,$A121,'Jun2026'!M3:M100,$B121)+SUMIFS('Jul2026'!K3:K100,'Jul2026'!L3:L100,$A121,'Jul2026'!M3:M100,$B121)+SUMIFS('Aug2026'!K3:K100,'Aug2026'!L3:L100,$A121,'Aug2026'!M3:M100,$B121)+SUMIFS('Sep2026'!K3:K100,'Sep2026'!L3:L100,$A121,'Sep2026'!M3:M100,$B121)+SUMIFS('Oct2026'!K3:K100,'Oct2026'!L3:L100,$A121,'Oct2026'!M3:M100,$B121)+SUMIFS('Nov2026'!K3:K100,'Nov2026'!L3:L100,$A121,'Nov2026'!M3:M100,$B121)+SUMIFS('Dec2026'!K3:K100,'Dec2026'!L3:L100,$A121,'Dec2026'!M3:M100,$B121)</f>
        <v/>
      </c>
    </row>
    <row r="122">
      <c r="A122" t="inlineStr">
        <is>
          <t>Marketing &amp; Sales</t>
        </is>
      </c>
      <c r="B122" t="inlineStr">
        <is>
          <t>Photography &amp; Drone</t>
        </is>
      </c>
      <c r="C122" s="11">
        <f>SUMIFS('Jan2026'!K3:K100,'Jan2026'!L3:L100,$A122,'Jan2026'!M3:M100,$B122)+SUMIFS('Feb2026'!K3:K100,'Feb2026'!L3:L100,$A122,'Feb2026'!M3:M100,$B122)+SUMIFS('Mar2026'!K3:K100,'Mar2026'!L3:L100,$A122,'Mar2026'!M3:M100,$B122)+SUMIFS('Apr2026'!K3:K100,'Apr2026'!L3:L100,$A122,'Apr2026'!M3:M100,$B122)+SUMIFS('May2026'!K3:K100,'May2026'!L3:L100,$A122,'May2026'!M3:M100,$B122)+SUMIFS('Jun2026'!K3:K100,'Jun2026'!L3:L100,$A122,'Jun2026'!M3:M100,$B122)+SUMIFS('Jul2026'!K3:K100,'Jul2026'!L3:L100,$A122,'Jul2026'!M3:M100,$B122)+SUMIFS('Aug2026'!K3:K100,'Aug2026'!L3:L100,$A122,'Aug2026'!M3:M100,$B122)+SUMIFS('Sep2026'!K3:K100,'Sep2026'!L3:L100,$A122,'Sep2026'!M3:M100,$B122)+SUMIFS('Oct2026'!K3:K100,'Oct2026'!L3:L100,$A122,'Oct2026'!M3:M100,$B122)+SUMIFS('Nov2026'!K3:K100,'Nov2026'!L3:L100,$A122,'Nov2026'!M3:M100,$B122)+SUMIFS('Dec2026'!K3:K100,'Dec2026'!L3:L100,$A122,'Dec2026'!M3:M100,$B122)</f>
        <v/>
      </c>
    </row>
    <row r="123">
      <c r="A123" t="inlineStr">
        <is>
          <t>Marketing &amp; Sales</t>
        </is>
      </c>
      <c r="B123" t="inlineStr">
        <is>
          <t>Digital Marketing</t>
        </is>
      </c>
      <c r="C123" s="11">
        <f>SUMIFS('Jan2026'!K3:K100,'Jan2026'!L3:L100,$A123,'Jan2026'!M3:M100,$B123)+SUMIFS('Feb2026'!K3:K100,'Feb2026'!L3:L100,$A123,'Feb2026'!M3:M100,$B123)+SUMIFS('Mar2026'!K3:K100,'Mar2026'!L3:L100,$A123,'Mar2026'!M3:M100,$B123)+SUMIFS('Apr2026'!K3:K100,'Apr2026'!L3:L100,$A123,'Apr2026'!M3:M100,$B123)+SUMIFS('May2026'!K3:K100,'May2026'!L3:L100,$A123,'May2026'!M3:M100,$B123)+SUMIFS('Jun2026'!K3:K100,'Jun2026'!L3:L100,$A123,'Jun2026'!M3:M100,$B123)+SUMIFS('Jul2026'!K3:K100,'Jul2026'!L3:L100,$A123,'Jul2026'!M3:M100,$B123)+SUMIFS('Aug2026'!K3:K100,'Aug2026'!L3:L100,$A123,'Aug2026'!M3:M100,$B123)+SUMIFS('Sep2026'!K3:K100,'Sep2026'!L3:L100,$A123,'Sep2026'!M3:M100,$B123)+SUMIFS('Oct2026'!K3:K100,'Oct2026'!L3:L100,$A123,'Oct2026'!M3:M100,$B123)+SUMIFS('Nov2026'!K3:K100,'Nov2026'!L3:L100,$A123,'Nov2026'!M3:M100,$B123)+SUMIFS('Dec2026'!K3:K100,'Dec2026'!L3:L100,$A123,'Dec2026'!M3:M100,$B123)</f>
        <v/>
      </c>
    </row>
    <row r="124">
      <c r="A124" t="inlineStr">
        <is>
          <t>Miscellaneous</t>
        </is>
      </c>
      <c r="B124" t="inlineStr">
        <is>
          <t>Travel Expenses</t>
        </is>
      </c>
      <c r="C124" s="11">
        <f>SUMIFS('Jan2026'!K3:K100,'Jan2026'!L3:L100,$A124,'Jan2026'!M3:M100,$B124)+SUMIFS('Feb2026'!K3:K100,'Feb2026'!L3:L100,$A124,'Feb2026'!M3:M100,$B124)+SUMIFS('Mar2026'!K3:K100,'Mar2026'!L3:L100,$A124,'Mar2026'!M3:M100,$B124)+SUMIFS('Apr2026'!K3:K100,'Apr2026'!L3:L100,$A124,'Apr2026'!M3:M100,$B124)+SUMIFS('May2026'!K3:K100,'May2026'!L3:L100,$A124,'May2026'!M3:M100,$B124)+SUMIFS('Jun2026'!K3:K100,'Jun2026'!L3:L100,$A124,'Jun2026'!M3:M100,$B124)+SUMIFS('Jul2026'!K3:K100,'Jul2026'!L3:L100,$A124,'Jul2026'!M3:M100,$B124)+SUMIFS('Aug2026'!K3:K100,'Aug2026'!L3:L100,$A124,'Aug2026'!M3:M100,$B124)+SUMIFS('Sep2026'!K3:K100,'Sep2026'!L3:L100,$A124,'Sep2026'!M3:M100,$B124)+SUMIFS('Oct2026'!K3:K100,'Oct2026'!L3:L100,$A124,'Oct2026'!M3:M100,$B124)+SUMIFS('Nov2026'!K3:K100,'Nov2026'!L3:L100,$A124,'Nov2026'!M3:M100,$B124)+SUMIFS('Dec2026'!K3:K100,'Dec2026'!L3:L100,$A124,'Dec2026'!M3:M100,$B124)</f>
        <v/>
      </c>
    </row>
    <row r="125">
      <c r="A125" t="inlineStr">
        <is>
          <t>Miscellaneous</t>
        </is>
      </c>
      <c r="B125" t="inlineStr">
        <is>
          <t>Food &amp; Refreshments</t>
        </is>
      </c>
      <c r="C125" s="11">
        <f>SUMIFS('Jan2026'!K3:K100,'Jan2026'!L3:L100,$A125,'Jan2026'!M3:M100,$B125)+SUMIFS('Feb2026'!K3:K100,'Feb2026'!L3:L100,$A125,'Feb2026'!M3:M100,$B125)+SUMIFS('Mar2026'!K3:K100,'Mar2026'!L3:L100,$A125,'Mar2026'!M3:M100,$B125)+SUMIFS('Apr2026'!K3:K100,'Apr2026'!L3:L100,$A125,'Apr2026'!M3:M100,$B125)+SUMIFS('May2026'!K3:K100,'May2026'!L3:L100,$A125,'May2026'!M3:M100,$B125)+SUMIFS('Jun2026'!K3:K100,'Jun2026'!L3:L100,$A125,'Jun2026'!M3:M100,$B125)+SUMIFS('Jul2026'!K3:K100,'Jul2026'!L3:L100,$A125,'Jul2026'!M3:M100,$B125)+SUMIFS('Aug2026'!K3:K100,'Aug2026'!L3:L100,$A125,'Aug2026'!M3:M100,$B125)+SUMIFS('Sep2026'!K3:K100,'Sep2026'!L3:L100,$A125,'Sep2026'!M3:M100,$B125)+SUMIFS('Oct2026'!K3:K100,'Oct2026'!L3:L100,$A125,'Oct2026'!M3:M100,$B125)+SUMIFS('Nov2026'!K3:K100,'Nov2026'!L3:L100,$A125,'Nov2026'!M3:M100,$B125)+SUMIFS('Dec2026'!K3:K100,'Dec2026'!L3:L100,$A125,'Dec2026'!M3:M100,$B125)</f>
        <v/>
      </c>
    </row>
    <row r="126">
      <c r="A126" t="inlineStr">
        <is>
          <t>Miscellaneous</t>
        </is>
      </c>
      <c r="B126" t="inlineStr">
        <is>
          <t>Government Fees</t>
        </is>
      </c>
      <c r="C126" s="11">
        <f>SUMIFS('Jan2026'!K3:K100,'Jan2026'!L3:L100,$A126,'Jan2026'!M3:M100,$B126)+SUMIFS('Feb2026'!K3:K100,'Feb2026'!L3:L100,$A126,'Feb2026'!M3:M100,$B126)+SUMIFS('Mar2026'!K3:K100,'Mar2026'!L3:L100,$A126,'Mar2026'!M3:M100,$B126)+SUMIFS('Apr2026'!K3:K100,'Apr2026'!L3:L100,$A126,'Apr2026'!M3:M100,$B126)+SUMIFS('May2026'!K3:K100,'May2026'!L3:L100,$A126,'May2026'!M3:M100,$B126)+SUMIFS('Jun2026'!K3:K100,'Jun2026'!L3:L100,$A126,'Jun2026'!M3:M100,$B126)+SUMIFS('Jul2026'!K3:K100,'Jul2026'!L3:L100,$A126,'Jul2026'!M3:M100,$B126)+SUMIFS('Aug2026'!K3:K100,'Aug2026'!L3:L100,$A126,'Aug2026'!M3:M100,$B126)+SUMIFS('Sep2026'!K3:K100,'Sep2026'!L3:L100,$A126,'Sep2026'!M3:M100,$B126)+SUMIFS('Oct2026'!K3:K100,'Oct2026'!L3:L100,$A126,'Oct2026'!M3:M100,$B126)+SUMIFS('Nov2026'!K3:K100,'Nov2026'!L3:L100,$A126,'Nov2026'!M3:M100,$B126)+SUMIFS('Dec2026'!K3:K100,'Dec2026'!L3:L100,$A126,'Dec2026'!M3:M100,$B126)</f>
        <v/>
      </c>
    </row>
    <row r="127">
      <c r="A127" t="inlineStr">
        <is>
          <t>Miscellaneous</t>
        </is>
      </c>
      <c r="B127" t="inlineStr">
        <is>
          <t>Bank Charges</t>
        </is>
      </c>
      <c r="C127" s="11">
        <f>SUMIFS('Jan2026'!K3:K100,'Jan2026'!L3:L100,$A127,'Jan2026'!M3:M100,$B127)+SUMIFS('Feb2026'!K3:K100,'Feb2026'!L3:L100,$A127,'Feb2026'!M3:M100,$B127)+SUMIFS('Mar2026'!K3:K100,'Mar2026'!L3:L100,$A127,'Mar2026'!M3:M100,$B127)+SUMIFS('Apr2026'!K3:K100,'Apr2026'!L3:L100,$A127,'Apr2026'!M3:M100,$B127)+SUMIFS('May2026'!K3:K100,'May2026'!L3:L100,$A127,'May2026'!M3:M100,$B127)+SUMIFS('Jun2026'!K3:K100,'Jun2026'!L3:L100,$A127,'Jun2026'!M3:M100,$B127)+SUMIFS('Jul2026'!K3:K100,'Jul2026'!L3:L100,$A127,'Jul2026'!M3:M100,$B127)+SUMIFS('Aug2026'!K3:K100,'Aug2026'!L3:L100,$A127,'Aug2026'!M3:M100,$B127)+SUMIFS('Sep2026'!K3:K100,'Sep2026'!L3:L100,$A127,'Sep2026'!M3:M100,$B127)+SUMIFS('Oct2026'!K3:K100,'Oct2026'!L3:L100,$A127,'Oct2026'!M3:M100,$B127)+SUMIFS('Nov2026'!K3:K100,'Nov2026'!L3:L100,$A127,'Nov2026'!M3:M100,$B127)+SUMIFS('Dec2026'!K3:K100,'Dec2026'!L3:L100,$A127,'Dec2026'!M3:M100,$B127)</f>
        <v/>
      </c>
    </row>
    <row r="128">
      <c r="A128" t="inlineStr">
        <is>
          <t>Miscellaneous</t>
        </is>
      </c>
      <c r="B128" t="inlineStr">
        <is>
          <t>Miscellaneous Expenses</t>
        </is>
      </c>
      <c r="C128" s="11">
        <f>SUMIFS('Jan2026'!K3:K100,'Jan2026'!L3:L100,$A128,'Jan2026'!M3:M100,$B128)+SUMIFS('Feb2026'!K3:K100,'Feb2026'!L3:L100,$A128,'Feb2026'!M3:M100,$B128)+SUMIFS('Mar2026'!K3:K100,'Mar2026'!L3:L100,$A128,'Mar2026'!M3:M100,$B128)+SUMIFS('Apr2026'!K3:K100,'Apr2026'!L3:L100,$A128,'Apr2026'!M3:M100,$B128)+SUMIFS('May2026'!K3:K100,'May2026'!L3:L100,$A128,'May2026'!M3:M100,$B128)+SUMIFS('Jun2026'!K3:K100,'Jun2026'!L3:L100,$A128,'Jun2026'!M3:M100,$B128)+SUMIFS('Jul2026'!K3:K100,'Jul2026'!L3:L100,$A128,'Jul2026'!M3:M100,$B128)+SUMIFS('Aug2026'!K3:K100,'Aug2026'!L3:L100,$A128,'Aug2026'!M3:M100,$B128)+SUMIFS('Sep2026'!K3:K100,'Sep2026'!L3:L100,$A128,'Sep2026'!M3:M100,$B128)+SUMIFS('Oct2026'!K3:K100,'Oct2026'!L3:L100,$A128,'Oct2026'!M3:M100,$B128)+SUMIFS('Nov2026'!K3:K100,'Nov2026'!L3:L100,$A128,'Nov2026'!M3:M100,$B128)+SUMIFS('Dec2026'!K3:K100,'Dec2026'!L3:L100,$A128,'Dec2026'!M3:M100,$B128)</f>
        <v/>
      </c>
    </row>
  </sheetData>
  <pageMargins left="0.75" right="0.75" top="1" bottom="1" header="0.5" footer="0.5"/>
  <pageSetup orientation="landscape" scale="43" fitToHeight="0"/>
  <drawing xmlns:r="http://schemas.openxmlformats.org/officeDocument/2006/relationships" r:id="rId1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46027</v>
      </c>
      <c r="C3" t="inlineStr">
        <is>
          <t>Land purchase advance from investor</t>
        </is>
      </c>
      <c r="D3" t="n">
        <v>2000000</v>
      </c>
      <c r="E3" t="inlineStr">
        <is>
          <t>Investor Capital</t>
        </is>
      </c>
      <c r="F3" t="inlineStr">
        <is>
          <t>Bank</t>
        </is>
      </c>
      <c r="I3" s="14" t="n">
        <v>46032</v>
      </c>
      <c r="J3" t="inlineStr">
        <is>
          <t>Land purchase payment</t>
        </is>
      </c>
      <c r="K3" t="n">
        <v>1500000</v>
      </c>
      <c r="L3" t="inlineStr">
        <is>
          <t>Land &amp; Legal</t>
        </is>
      </c>
      <c r="M3" t="inlineStr">
        <is>
          <t>Land Purchase</t>
        </is>
      </c>
      <c r="N3" t="inlineStr">
        <is>
          <t>Bank</t>
        </is>
      </c>
      <c r="O3" t="inlineStr">
        <is>
          <t>Initial land purchase</t>
        </is>
      </c>
    </row>
    <row r="4">
      <c r="A4" t="n">
        <v>2</v>
      </c>
      <c r="B4" s="14" t="n">
        <v>46037</v>
      </c>
      <c r="C4" t="inlineStr">
        <is>
          <t>Partner contribution</t>
        </is>
      </c>
      <c r="D4" t="n">
        <v>500000</v>
      </c>
      <c r="E4" t="inlineStr">
        <is>
          <t>Partner Contribution</t>
        </is>
      </c>
      <c r="F4" t="inlineStr">
        <is>
          <t>Bank</t>
        </is>
      </c>
      <c r="I4" s="14" t="n">
        <v>46042</v>
      </c>
      <c r="J4" t="inlineStr">
        <is>
          <t>Survey charges</t>
        </is>
      </c>
      <c r="K4" t="n">
        <v>25000</v>
      </c>
      <c r="L4" t="inlineStr">
        <is>
          <t>Land &amp; Legal</t>
        </is>
      </c>
      <c r="M4" t="inlineStr">
        <is>
          <t>Survey Charges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46058</v>
      </c>
      <c r="C3" t="inlineStr">
        <is>
          <t>Bank loan disbursement</t>
        </is>
      </c>
      <c r="D3" t="n">
        <v>1000000</v>
      </c>
      <c r="E3" t="inlineStr">
        <is>
          <t>Loan Received</t>
        </is>
      </c>
      <c r="F3" t="inlineStr">
        <is>
          <t>Bank</t>
        </is>
      </c>
      <c r="I3" s="14" t="n">
        <v>46061</v>
      </c>
      <c r="J3" t="inlineStr">
        <is>
          <t>Earthwork and levelling</t>
        </is>
      </c>
      <c r="K3" t="n">
        <v>300000</v>
      </c>
      <c r="L3" t="inlineStr">
        <is>
          <t>Site Development</t>
        </is>
      </c>
      <c r="M3" t="inlineStr">
        <is>
          <t>Earthwork &amp; Levelling</t>
        </is>
      </c>
      <c r="N3" t="inlineStr">
        <is>
          <t>Bank</t>
        </is>
      </c>
    </row>
    <row r="4">
      <c r="I4" s="14" t="n">
        <v>46071</v>
      </c>
      <c r="J4" t="inlineStr">
        <is>
          <t>Labour wages</t>
        </is>
      </c>
      <c r="K4" t="n">
        <v>80000</v>
      </c>
      <c r="L4" t="inlineStr">
        <is>
          <t>Labour &amp; Contractors</t>
        </is>
      </c>
      <c r="M4" t="inlineStr">
        <is>
          <t>Labour Wages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'Jan2026'!B106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46091</v>
      </c>
      <c r="C3" t="inlineStr">
        <is>
          <t>Plot sale - Plot 12</t>
        </is>
      </c>
      <c r="D3" t="n">
        <v>1800000</v>
      </c>
      <c r="E3" t="inlineStr">
        <is>
          <t>Sales</t>
        </is>
      </c>
      <c r="F3" t="inlineStr">
        <is>
          <t>Bank</t>
        </is>
      </c>
      <c r="I3" s="14" t="n">
        <v>46086</v>
      </c>
      <c r="J3" t="inlineStr">
        <is>
          <t>Cement purchase</t>
        </is>
      </c>
      <c r="K3" t="n">
        <v>150000</v>
      </c>
      <c r="L3" t="inlineStr">
        <is>
          <t>Materials</t>
        </is>
      </c>
      <c r="M3" t="inlineStr">
        <is>
          <t>Cement</t>
        </is>
      </c>
      <c r="N3" t="inlineStr">
        <is>
          <t>Bank</t>
        </is>
      </c>
    </row>
    <row r="4">
      <c r="I4" s="14" t="n">
        <v>46096</v>
      </c>
      <c r="J4" t="inlineStr">
        <is>
          <t>Borewell drilling</t>
        </is>
      </c>
      <c r="K4" t="n">
        <v>200000</v>
      </c>
      <c r="L4" t="inlineStr">
        <is>
          <t>Utilities</t>
        </is>
      </c>
      <c r="M4" t="inlineStr">
        <is>
          <t>Borewell</t>
        </is>
      </c>
      <c r="N4" t="inlineStr">
        <is>
          <t>Bank</t>
        </is>
      </c>
    </row>
    <row r="5">
      <c r="I5" s="14" t="n">
        <v>46106</v>
      </c>
      <c r="J5" t="inlineStr">
        <is>
          <t>Advertisement</t>
        </is>
      </c>
      <c r="K5" t="n">
        <v>40000</v>
      </c>
      <c r="L5" t="inlineStr">
        <is>
          <t>Marketing &amp; Sales</t>
        </is>
      </c>
      <c r="M5" t="inlineStr">
        <is>
          <t>Advertisement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'Feb2026'!B106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46117</v>
      </c>
      <c r="C3" t="inlineStr">
        <is>
          <t>Plot sale - Plot 15</t>
        </is>
      </c>
      <c r="D3" t="n">
        <v>2200000</v>
      </c>
      <c r="E3" t="inlineStr">
        <is>
          <t>Sales</t>
        </is>
      </c>
      <c r="F3" t="inlineStr">
        <is>
          <t>Bank</t>
        </is>
      </c>
      <c r="I3" s="14" t="n">
        <v>46120</v>
      </c>
      <c r="J3" t="inlineStr">
        <is>
          <t>Compound wall construction</t>
        </is>
      </c>
      <c r="K3" t="n">
        <v>350000</v>
      </c>
      <c r="L3" t="inlineStr">
        <is>
          <t>Site Development</t>
        </is>
      </c>
      <c r="M3" t="inlineStr">
        <is>
          <t>Compound Wall</t>
        </is>
      </c>
      <c r="N3" t="inlineStr">
        <is>
          <t>Bank</t>
        </is>
      </c>
    </row>
    <row r="4">
      <c r="A4" t="n">
        <v>2</v>
      </c>
      <c r="B4" s="14" t="n">
        <v>46132</v>
      </c>
      <c r="C4" t="inlineStr">
        <is>
          <t>Partner contribution</t>
        </is>
      </c>
      <c r="D4" t="n">
        <v>300000</v>
      </c>
      <c r="E4" t="inlineStr">
        <is>
          <t>Partner Contribution</t>
        </is>
      </c>
      <c r="F4" t="inlineStr">
        <is>
          <t>Cash</t>
        </is>
      </c>
      <c r="I4" s="14" t="n">
        <v>46130</v>
      </c>
      <c r="J4" t="inlineStr">
        <is>
          <t>Security guard salary</t>
        </is>
      </c>
      <c r="K4" t="n">
        <v>45000</v>
      </c>
      <c r="L4" t="inlineStr">
        <is>
          <t>Operations</t>
        </is>
      </c>
      <c r="M4" t="inlineStr">
        <is>
          <t>Security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I3" s="14" t="n">
        <v>46152</v>
      </c>
      <c r="J3" t="inlineStr">
        <is>
          <t>Office expenses</t>
        </is>
      </c>
      <c r="K3" t="n">
        <v>15000</v>
      </c>
      <c r="L3" t="inlineStr">
        <is>
          <t>Operations</t>
        </is>
      </c>
      <c r="M3" t="inlineStr">
        <is>
          <t>Office Expenses</t>
        </is>
      </c>
      <c r="N3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'Apr2026'!B106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Q70"/>
  <sheetViews>
    <sheetView workbookViewId="0">
      <selection activeCell="A1" sqref="A1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s="5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s="5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s="5" t="inlineStr">
        <is>
          <t>Metal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Blacktop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s="5" t="inlineStr">
        <is>
          <t>Bricks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Bank Charges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s="5" t="inlineStr">
        <is>
          <t>Steel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5" t="inlineStr">
        <is>
          <t>Miscellaneous Expenses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L8" s="5" t="inlineStr">
        <is>
          <t>Children's Play Area</t>
        </is>
      </c>
      <c r="N8" s="5" t="inlineStr">
        <is>
          <t>Pipes</t>
        </is>
      </c>
      <c r="O8" s="5" t="inlineStr">
        <is>
          <t>Office Expenses</t>
        </is>
      </c>
      <c r="P8" s="5" t="inlineStr">
        <is>
          <t>Digital Marketing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s="5" t="inlineStr">
        <is>
          <t>Electrical Materials</t>
        </is>
      </c>
      <c r="O9" s="5" t="inlineStr">
        <is>
          <t>Internet &amp; Phone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s="5" t="inlineStr">
        <is>
          <t>Paint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N11" s="5" t="inlineStr">
        <is>
          <t>Tiles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</row>
    <row r="15">
      <c r="C15" s="5" t="inlineStr">
        <is>
          <t>Site Development</t>
        </is>
      </c>
      <c r="D15" s="5" t="inlineStr">
        <is>
          <t>Compound Wall</t>
        </is>
      </c>
    </row>
    <row r="16">
      <c r="C16" s="5" t="inlineStr">
        <is>
          <t>Site Development</t>
        </is>
      </c>
      <c r="D16" s="5" t="inlineStr">
        <is>
          <t>Entrance Gate</t>
        </is>
      </c>
    </row>
    <row r="17">
      <c r="C17" s="5" t="inlineStr">
        <is>
          <t>Site Development</t>
        </is>
      </c>
      <c r="D17" s="5" t="inlineStr">
        <is>
          <t>Drainage</t>
        </is>
      </c>
    </row>
    <row r="18">
      <c r="C18" s="5" t="inlineStr">
        <is>
          <t>Site Development</t>
        </is>
      </c>
      <c r="D18" s="5" t="inlineStr">
        <is>
          <t>Culverts</t>
        </is>
      </c>
    </row>
    <row r="19">
      <c r="C19" s="5" t="inlineStr">
        <is>
          <t>Utilities</t>
        </is>
      </c>
      <c r="D19" s="5" t="inlineStr">
        <is>
          <t>Borewell</t>
        </is>
      </c>
    </row>
    <row r="20">
      <c r="C20" s="5" t="inlineStr">
        <is>
          <t>Utilities</t>
        </is>
      </c>
      <c r="D20" s="5" t="inlineStr">
        <is>
          <t>Water Pipelines</t>
        </is>
      </c>
    </row>
    <row r="21">
      <c r="C21" s="5" t="inlineStr">
        <is>
          <t>Utilities</t>
        </is>
      </c>
      <c r="D21" s="5" t="inlineStr">
        <is>
          <t>Water Tank</t>
        </is>
      </c>
    </row>
    <row r="22">
      <c r="C22" s="5" t="inlineStr">
        <is>
          <t>Utilities</t>
        </is>
      </c>
      <c r="D22" s="5" t="inlineStr">
        <is>
          <t>Electricity Connection</t>
        </is>
      </c>
    </row>
    <row r="23">
      <c r="C23" s="5" t="inlineStr">
        <is>
          <t>Utilities</t>
        </is>
      </c>
      <c r="D23" s="5" t="inlineStr">
        <is>
          <t>Transformer</t>
        </is>
      </c>
    </row>
    <row r="24">
      <c r="C24" s="5" t="inlineStr">
        <is>
          <t>Utilities</t>
        </is>
      </c>
      <c r="D24" s="5" t="inlineStr">
        <is>
          <t>Street Lights</t>
        </is>
      </c>
    </row>
    <row r="25">
      <c r="C25" s="5" t="inlineStr">
        <is>
          <t>Utilities</t>
        </is>
      </c>
      <c r="D25" s="5" t="inlineStr">
        <is>
          <t>Generator</t>
        </is>
      </c>
    </row>
    <row r="26">
      <c r="C26" s="5" t="inlineStr">
        <is>
          <t>Landscaping</t>
        </is>
      </c>
      <c r="D26" s="5" t="inlineStr">
        <is>
          <t>Plantation</t>
        </is>
      </c>
    </row>
    <row r="27">
      <c r="C27" s="5" t="inlineStr">
        <is>
          <t>Landscaping</t>
        </is>
      </c>
      <c r="D27" s="5" t="inlineStr">
        <is>
          <t>Miyawaki Forest</t>
        </is>
      </c>
    </row>
    <row r="28">
      <c r="C28" s="5" t="inlineStr">
        <is>
          <t>Landscaping</t>
        </is>
      </c>
      <c r="D28" s="5" t="inlineStr">
        <is>
          <t>Lawn Development</t>
        </is>
      </c>
    </row>
    <row r="29">
      <c r="C29" s="5" t="inlineStr">
        <is>
          <t>Landscaping</t>
        </is>
      </c>
      <c r="D29" s="5" t="inlineStr">
        <is>
          <t>Irrigation/Drip System</t>
        </is>
      </c>
    </row>
    <row r="30">
      <c r="C30" s="5" t="inlineStr">
        <is>
          <t>Landscaping</t>
        </is>
      </c>
      <c r="D30" s="5" t="inlineStr">
        <is>
          <t>Garden Maintenance</t>
        </is>
      </c>
    </row>
    <row r="31">
      <c r="C31" s="5" t="inlineStr">
        <is>
          <t>Buildings &amp; Amenities</t>
        </is>
      </c>
      <c r="D31" s="5" t="inlineStr">
        <is>
          <t>Security Room</t>
        </is>
      </c>
    </row>
    <row r="32">
      <c r="C32" s="5" t="inlineStr">
        <is>
          <t>Buildings &amp; Amenities</t>
        </is>
      </c>
      <c r="D32" s="5" t="inlineStr">
        <is>
          <t>Site Office</t>
        </is>
      </c>
    </row>
    <row r="33">
      <c r="C33" s="5" t="inlineStr">
        <is>
          <t>Buildings &amp; Amenities</t>
        </is>
      </c>
      <c r="D33" s="5" t="inlineStr">
        <is>
          <t>Clubhouse</t>
        </is>
      </c>
    </row>
    <row r="34">
      <c r="C34" s="5" t="inlineStr">
        <is>
          <t>Buildings &amp; Amenities</t>
        </is>
      </c>
      <c r="D34" s="5" t="inlineStr">
        <is>
          <t>Swimming Pool</t>
        </is>
      </c>
    </row>
    <row r="35">
      <c r="C35" s="5" t="inlineStr">
        <is>
          <t>Buildings &amp; Amenities</t>
        </is>
      </c>
      <c r="D35" s="5" t="inlineStr">
        <is>
          <t>Gazebo</t>
        </is>
      </c>
    </row>
    <row r="36">
      <c r="C36" s="5" t="inlineStr">
        <is>
          <t>Buildings &amp; Amenities</t>
        </is>
      </c>
      <c r="D36" s="5" t="inlineStr">
        <is>
          <t>Children's Play Area</t>
        </is>
      </c>
    </row>
    <row r="37">
      <c r="C37" s="5" t="inlineStr">
        <is>
          <t>Buildings &amp; Amenities</t>
        </is>
      </c>
      <c r="D37" s="5" t="inlineStr">
        <is>
          <t>Sports Courts</t>
        </is>
      </c>
    </row>
    <row r="38">
      <c r="C38" s="5" t="inlineStr">
        <is>
          <t>Buildings &amp; Amenities</t>
        </is>
      </c>
      <c r="D38" s="5" t="inlineStr">
        <is>
          <t>Toilets</t>
        </is>
      </c>
    </row>
    <row r="39">
      <c r="C39" s="5" t="inlineStr">
        <is>
          <t>Labour &amp; Contractors</t>
        </is>
      </c>
      <c r="D39" s="5" t="inlineStr">
        <is>
          <t>Labour Wages</t>
        </is>
      </c>
    </row>
    <row r="40">
      <c r="C40" s="5" t="inlineStr">
        <is>
          <t>Labour &amp; Contractors</t>
        </is>
      </c>
      <c r="D40" s="5" t="inlineStr">
        <is>
          <t>Contractor Payments</t>
        </is>
      </c>
    </row>
    <row r="41">
      <c r="C41" s="5" t="inlineStr">
        <is>
          <t>Labour &amp; Contractors</t>
        </is>
      </c>
      <c r="D41" s="5" t="inlineStr">
        <is>
          <t>Machinery Hire</t>
        </is>
      </c>
    </row>
    <row r="42">
      <c r="C42" s="5" t="inlineStr">
        <is>
          <t>Labour &amp; Contractors</t>
        </is>
      </c>
      <c r="D42" s="5" t="inlineStr">
        <is>
          <t>Excavator/JCB</t>
        </is>
      </c>
    </row>
    <row r="43">
      <c r="C43" s="5" t="inlineStr">
        <is>
          <t>Labour &amp; Contractors</t>
        </is>
      </c>
      <c r="D43" s="5" t="inlineStr">
        <is>
          <t>Tractor &amp; Transport</t>
        </is>
      </c>
    </row>
    <row r="44">
      <c r="C44" s="5" t="inlineStr">
        <is>
          <t>Materials</t>
        </is>
      </c>
      <c r="D44" s="5" t="inlineStr">
        <is>
          <t>Cement</t>
        </is>
      </c>
    </row>
    <row r="45">
      <c r="C45" s="5" t="inlineStr">
        <is>
          <t>Materials</t>
        </is>
      </c>
      <c r="D45" s="5" t="inlineStr">
        <is>
          <t>Sand</t>
        </is>
      </c>
    </row>
    <row r="46">
      <c r="C46" s="5" t="inlineStr">
        <is>
          <t>Materials</t>
        </is>
      </c>
      <c r="D46" s="5" t="inlineStr">
        <is>
          <t>Metal</t>
        </is>
      </c>
    </row>
    <row r="47">
      <c r="C47" s="5" t="inlineStr">
        <is>
          <t>Materials</t>
        </is>
      </c>
      <c r="D47" s="5" t="inlineStr">
        <is>
          <t>Bricks</t>
        </is>
      </c>
    </row>
    <row r="48">
      <c r="C48" s="5" t="inlineStr">
        <is>
          <t>Materials</t>
        </is>
      </c>
      <c r="D48" s="5" t="inlineStr">
        <is>
          <t>Steel</t>
        </is>
      </c>
    </row>
    <row r="49">
      <c r="C49" s="5" t="inlineStr">
        <is>
          <t>Materials</t>
        </is>
      </c>
      <c r="D49" s="5" t="inlineStr">
        <is>
          <t>Pipes</t>
        </is>
      </c>
    </row>
    <row r="50">
      <c r="C50" s="5" t="inlineStr">
        <is>
          <t>Materials</t>
        </is>
      </c>
      <c r="D50" s="5" t="inlineStr">
        <is>
          <t>Electrical Materials</t>
        </is>
      </c>
    </row>
    <row r="51">
      <c r="C51" s="5" t="inlineStr">
        <is>
          <t>Materials</t>
        </is>
      </c>
      <c r="D51" s="5" t="inlineStr">
        <is>
          <t>Paint</t>
        </is>
      </c>
    </row>
    <row r="52">
      <c r="C52" s="5" t="inlineStr">
        <is>
          <t>Materials</t>
        </is>
      </c>
      <c r="D52" s="5" t="inlineStr">
        <is>
          <t>Tiles</t>
        </is>
      </c>
    </row>
    <row r="53">
      <c r="C53" s="5" t="inlineStr">
        <is>
          <t>Operations</t>
        </is>
      </c>
      <c r="D53" s="5" t="inlineStr">
        <is>
          <t>Security</t>
        </is>
      </c>
    </row>
    <row r="54">
      <c r="C54" s="5" t="inlineStr">
        <is>
          <t>Operations</t>
        </is>
      </c>
      <c r="D54" s="5" t="inlineStr">
        <is>
          <t>Housekeeping</t>
        </is>
      </c>
    </row>
    <row r="55">
      <c r="C55" s="5" t="inlineStr">
        <is>
          <t>Operations</t>
        </is>
      </c>
      <c r="D55" s="5" t="inlineStr">
        <is>
          <t>Fuel &amp; Diesel</t>
        </is>
      </c>
    </row>
    <row r="56">
      <c r="C56" s="5" t="inlineStr">
        <is>
          <t>Operations</t>
        </is>
      </c>
      <c r="D56" s="5" t="inlineStr">
        <is>
          <t>Vehicle Expenses</t>
        </is>
      </c>
    </row>
    <row r="57">
      <c r="C57" s="5" t="inlineStr">
        <is>
          <t>Operations</t>
        </is>
      </c>
      <c r="D57" s="5" t="inlineStr">
        <is>
          <t>Repairs &amp; Maintenance</t>
        </is>
      </c>
    </row>
    <row r="58">
      <c r="C58" s="5" t="inlineStr">
        <is>
          <t>Operations</t>
        </is>
      </c>
      <c r="D58" s="5" t="inlineStr">
        <is>
          <t>Office Expenses</t>
        </is>
      </c>
    </row>
    <row r="59">
      <c r="C59" s="5" t="inlineStr">
        <is>
          <t>Operations</t>
        </is>
      </c>
      <c r="D59" s="5" t="inlineStr">
        <is>
          <t>Internet &amp; Phone</t>
        </is>
      </c>
    </row>
    <row r="60">
      <c r="C60" s="5" t="inlineStr">
        <is>
          <t>Marketing &amp; Sales</t>
        </is>
      </c>
      <c r="D60" s="5" t="inlineStr">
        <is>
          <t>Advertisement</t>
        </is>
      </c>
    </row>
    <row r="61">
      <c r="C61" s="5" t="inlineStr">
        <is>
          <t>Marketing &amp; Sales</t>
        </is>
      </c>
      <c r="D61" s="5" t="inlineStr">
        <is>
          <t>Flex Boards</t>
        </is>
      </c>
    </row>
    <row r="62">
      <c r="C62" s="5" t="inlineStr">
        <is>
          <t>Marketing &amp; Sales</t>
        </is>
      </c>
      <c r="D62" s="5" t="inlineStr">
        <is>
          <t>Brochures</t>
        </is>
      </c>
    </row>
    <row r="63">
      <c r="C63" s="5" t="inlineStr">
        <is>
          <t>Marketing &amp; Sales</t>
        </is>
      </c>
      <c r="D63" s="5" t="inlineStr">
        <is>
          <t>Events</t>
        </is>
      </c>
    </row>
    <row r="64">
      <c r="C64" s="5" t="inlineStr">
        <is>
          <t>Marketing &amp; Sales</t>
        </is>
      </c>
      <c r="D64" s="5" t="inlineStr">
        <is>
          <t>Photography &amp; Drone</t>
        </is>
      </c>
    </row>
    <row r="65">
      <c r="C65" s="5" t="inlineStr">
        <is>
          <t>Marketing &amp; Sales</t>
        </is>
      </c>
      <c r="D65" s="5" t="inlineStr">
        <is>
          <t>Digital Marketing</t>
        </is>
      </c>
    </row>
    <row r="66">
      <c r="C66" s="5" t="inlineStr">
        <is>
          <t>Miscellaneous</t>
        </is>
      </c>
      <c r="D66" s="5" t="inlineStr">
        <is>
          <t>Travel Expenses</t>
        </is>
      </c>
    </row>
    <row r="67">
      <c r="C67" s="5" t="inlineStr">
        <is>
          <t>Miscellaneous</t>
        </is>
      </c>
      <c r="D67" s="5" t="inlineStr">
        <is>
          <t>Food &amp; Refreshments</t>
        </is>
      </c>
    </row>
    <row r="68">
      <c r="C68" s="5" t="inlineStr">
        <is>
          <t>Miscellaneous</t>
        </is>
      </c>
      <c r="D68" s="5" t="inlineStr">
        <is>
          <t>Government Fees</t>
        </is>
      </c>
    </row>
    <row r="69">
      <c r="C69" s="5" t="inlineStr">
        <is>
          <t>Miscellaneous</t>
        </is>
      </c>
      <c r="D69" s="5" t="inlineStr">
        <is>
          <t>Bank Charges</t>
        </is>
      </c>
    </row>
    <row r="70">
      <c r="C70" s="5" t="inlineStr">
        <is>
          <t>Miscellaneous</t>
        </is>
      </c>
      <c r="D70" s="5" t="inlineStr">
        <is>
          <t>Miscellaneous Expenses</t>
        </is>
      </c>
    </row>
  </sheetData>
  <pageMargins left="0.75" right="0.75" top="1" bottom="1" header="0.5" footer="0.5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2026-07-05T08:24:29Z</dcterms:modified>
  <cp:lastModifiedBy>sunil B</cp:lastModifiedBy>
  <cp:lastPrinted>2026-07-05T08:12:38Z</cp:lastPrinted>
</cp:coreProperties>
</file>